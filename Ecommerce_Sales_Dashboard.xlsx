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defaultThemeVersion="166925"/>
  <mc:AlternateContent xmlns:mc="http://schemas.openxmlformats.org/markup-compatibility/2006">
    <mc:Choice Requires="x15">
      <x15ac:absPath xmlns:x15ac="http://schemas.microsoft.com/office/spreadsheetml/2010/11/ac" url="C:\Users\USER\Desktop\excel-sales-dashboard\"/>
    </mc:Choice>
  </mc:AlternateContent>
  <xr:revisionPtr revIDLastSave="0" documentId="8_{FBC759B2-AB11-4954-B4B7-B3E014CCF6FA}" xr6:coauthVersionLast="33" xr6:coauthVersionMax="33" xr10:uidLastSave="{00000000-0000-0000-0000-000000000000}"/>
  <bookViews>
    <workbookView xWindow="0" yWindow="0" windowWidth="19200" windowHeight="7570" firstSheet="1" activeTab="6" xr2:uid="{00000000-000D-0000-FFFF-FFFF00000000}"/>
  </bookViews>
  <sheets>
    <sheet name="Sheet2" sheetId="3" r:id="rId1"/>
    <sheet name="Sheet3" sheetId="4" r:id="rId2"/>
    <sheet name="Sheet4" sheetId="5" r:id="rId3"/>
    <sheet name="Sheet5" sheetId="6" r:id="rId4"/>
    <sheet name="Sheet6" sheetId="7" r:id="rId5"/>
    <sheet name="ecommerce_sales_data" sheetId="1" r:id="rId6"/>
    <sheet name="Dashboard" sheetId="2" r:id="rId7"/>
  </sheets>
  <definedNames>
    <definedName name="Slicer_Category">#N/A</definedName>
    <definedName name="Slicer_Country">#N/A</definedName>
    <definedName name="Slicer_Sales_Channel">#N/A</definedName>
  </definedNames>
  <calcPr calcId="162913"/>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2" l="1"/>
  <c r="F3" i="2"/>
  <c r="D3" i="2"/>
  <c r="B3" i="2"/>
</calcChain>
</file>

<file path=xl/sharedStrings.xml><?xml version="1.0" encoding="utf-8"?>
<sst xmlns="http://schemas.openxmlformats.org/spreadsheetml/2006/main" count="8075" uniqueCount="1355">
  <si>
    <t>Order ID</t>
  </si>
  <si>
    <t>Order Date</t>
  </si>
  <si>
    <t>Customer</t>
  </si>
  <si>
    <t>Country</t>
  </si>
  <si>
    <t>Region</t>
  </si>
  <si>
    <t>Product</t>
  </si>
  <si>
    <t>Category</t>
  </si>
  <si>
    <t>Quantity</t>
  </si>
  <si>
    <t>Unit Price</t>
  </si>
  <si>
    <t>Discount</t>
  </si>
  <si>
    <t>Sales</t>
  </si>
  <si>
    <t>Cost</t>
  </si>
  <si>
    <t>Profit</t>
  </si>
  <si>
    <t>Payment Method</t>
  </si>
  <si>
    <t>Sales Channel</t>
  </si>
  <si>
    <t>ORD-100001</t>
  </si>
  <si>
    <t>Sophia Anderson</t>
  </si>
  <si>
    <t>Germany</t>
  </si>
  <si>
    <t>Europe</t>
  </si>
  <si>
    <t>Office Chair</t>
  </si>
  <si>
    <t>Furniture</t>
  </si>
  <si>
    <t>Credit Card</t>
  </si>
  <si>
    <t>Marketplace</t>
  </si>
  <si>
    <t>ORD-100002</t>
  </si>
  <si>
    <t>Jamie Johnson</t>
  </si>
  <si>
    <t>India</t>
  </si>
  <si>
    <t>Asia</t>
  </si>
  <si>
    <t>Bookshelf</t>
  </si>
  <si>
    <t>Online</t>
  </si>
  <si>
    <t>ORD-100003</t>
  </si>
  <si>
    <t>Drew Lewis</t>
  </si>
  <si>
    <t>Kenya</t>
  </si>
  <si>
    <t>Africa</t>
  </si>
  <si>
    <t>PayPal</t>
  </si>
  <si>
    <t>ORD-100004</t>
  </si>
  <si>
    <t>Casey Brown</t>
  </si>
  <si>
    <t>Headphones</t>
  </si>
  <si>
    <t>Electronics</t>
  </si>
  <si>
    <t>Bank Transfer</t>
  </si>
  <si>
    <t>ORD-100005</t>
  </si>
  <si>
    <t>Jordan Davis</t>
  </si>
  <si>
    <t>Laptop</t>
  </si>
  <si>
    <t>Retail Store</t>
  </si>
  <si>
    <t>ORD-100006</t>
  </si>
  <si>
    <t>Jordan Hall</t>
  </si>
  <si>
    <t>Australia</t>
  </si>
  <si>
    <t>Oceania</t>
  </si>
  <si>
    <t>Debit Card</t>
  </si>
  <si>
    <t>ORD-100007</t>
  </si>
  <si>
    <t>Morgan Hall</t>
  </si>
  <si>
    <t>Nigeria</t>
  </si>
  <si>
    <t>Printer</t>
  </si>
  <si>
    <t>ORD-100008</t>
  </si>
  <si>
    <t>Emma Wilson</t>
  </si>
  <si>
    <t>ORD-100009</t>
  </si>
  <si>
    <t>Avery Moore</t>
  </si>
  <si>
    <t>ORD-100010</t>
  </si>
  <si>
    <t>Casey Martin</t>
  </si>
  <si>
    <t>UK</t>
  </si>
  <si>
    <t>ORD-100011</t>
  </si>
  <si>
    <t>USA</t>
  </si>
  <si>
    <t>North America</t>
  </si>
  <si>
    <t>ORD-100012</t>
  </si>
  <si>
    <t>Noah Anderson</t>
  </si>
  <si>
    <t>ORD-100013</t>
  </si>
  <si>
    <t>Daniel Walker</t>
  </si>
  <si>
    <t>Canada</t>
  </si>
  <si>
    <t>Keyboard</t>
  </si>
  <si>
    <t>ORD-100014</t>
  </si>
  <si>
    <t>Sophia Taylor</t>
  </si>
  <si>
    <t>ORD-100015</t>
  </si>
  <si>
    <t>Sam Martin</t>
  </si>
  <si>
    <t>ORD-100016</t>
  </si>
  <si>
    <t>Cameron Brown</t>
  </si>
  <si>
    <t>ORD-100017</t>
  </si>
  <si>
    <t>Cameron Davis</t>
  </si>
  <si>
    <t>ORD-100018</t>
  </si>
  <si>
    <t>Olivia Clark</t>
  </si>
  <si>
    <t>Desk</t>
  </si>
  <si>
    <t>ORD-100019</t>
  </si>
  <si>
    <t>Chris Martin</t>
  </si>
  <si>
    <t>ORD-100020</t>
  </si>
  <si>
    <t>Casey Davis</t>
  </si>
  <si>
    <t>ORD-100021</t>
  </si>
  <si>
    <t>Taylor Davis</t>
  </si>
  <si>
    <t>ORD-100022</t>
  </si>
  <si>
    <t>Alex Thomas</t>
  </si>
  <si>
    <t>ORD-100023</t>
  </si>
  <si>
    <t>Drew Brown</t>
  </si>
  <si>
    <t>ORD-100024</t>
  </si>
  <si>
    <t>Chris Wilson</t>
  </si>
  <si>
    <t>ORD-100025</t>
  </si>
  <si>
    <t>ORD-100026</t>
  </si>
  <si>
    <t>Ethan Hall</t>
  </si>
  <si>
    <t>ORD-100027</t>
  </si>
  <si>
    <t>Liam Davis</t>
  </si>
  <si>
    <t>ORD-100028</t>
  </si>
  <si>
    <t>Noah Hall</t>
  </si>
  <si>
    <t>ORD-100029</t>
  </si>
  <si>
    <t>Alex Wilson</t>
  </si>
  <si>
    <t>ORD-100030</t>
  </si>
  <si>
    <t>Noah Wilson</t>
  </si>
  <si>
    <t>ORD-100031</t>
  </si>
  <si>
    <t>Alex Davis</t>
  </si>
  <si>
    <t>ORD-100032</t>
  </si>
  <si>
    <t>Taylor Thomas</t>
  </si>
  <si>
    <t>ORD-100033</t>
  </si>
  <si>
    <t>Riley Smith</t>
  </si>
  <si>
    <t>Monitor</t>
  </si>
  <si>
    <t>ORD-100034</t>
  </si>
  <si>
    <t>Mia Lewis</t>
  </si>
  <si>
    <t>ORD-100035</t>
  </si>
  <si>
    <t>ORD-100036</t>
  </si>
  <si>
    <t>Olivia Davis</t>
  </si>
  <si>
    <t>ORD-100037</t>
  </si>
  <si>
    <t>Morgan Taylor</t>
  </si>
  <si>
    <t>ORD-100038</t>
  </si>
  <si>
    <t>Drew Hall</t>
  </si>
  <si>
    <t>ORD-100039</t>
  </si>
  <si>
    <t>Cameron Lewis</t>
  </si>
  <si>
    <t>ORD-100040</t>
  </si>
  <si>
    <t>Mia Wilson</t>
  </si>
  <si>
    <t>ORD-100041</t>
  </si>
  <si>
    <t>Liam Brown</t>
  </si>
  <si>
    <t>ORD-100042</t>
  </si>
  <si>
    <t>ORD-100043</t>
  </si>
  <si>
    <t>ORD-100044</t>
  </si>
  <si>
    <t>Liam Thomas</t>
  </si>
  <si>
    <t>ORD-100045</t>
  </si>
  <si>
    <t>Alex Walker</t>
  </si>
  <si>
    <t>ORD-100046</t>
  </si>
  <si>
    <t>Chris Young</t>
  </si>
  <si>
    <t>ORD-100047</t>
  </si>
  <si>
    <t>Jordan Brown</t>
  </si>
  <si>
    <t>ORD-100048</t>
  </si>
  <si>
    <t>Morgan Martin</t>
  </si>
  <si>
    <t>ORD-100049</t>
  </si>
  <si>
    <t>Casey Lewis</t>
  </si>
  <si>
    <t>ORD-100050</t>
  </si>
  <si>
    <t>Mia Clark</t>
  </si>
  <si>
    <t>ORD-100051</t>
  </si>
  <si>
    <t>Daniel Brown</t>
  </si>
  <si>
    <t>ORD-100052</t>
  </si>
  <si>
    <t>Liam Moore</t>
  </si>
  <si>
    <t>ORD-100053</t>
  </si>
  <si>
    <t>Sam Clark</t>
  </si>
  <si>
    <t>ORD-100054</t>
  </si>
  <si>
    <t>Riley Martin</t>
  </si>
  <si>
    <t>ORD-100055</t>
  </si>
  <si>
    <t>Alex Taylor</t>
  </si>
  <si>
    <t>ORD-100056</t>
  </si>
  <si>
    <t>Chris Taylor</t>
  </si>
  <si>
    <t>ORD-100057</t>
  </si>
  <si>
    <t>Daniel Lewis</t>
  </si>
  <si>
    <t>ORD-100058</t>
  </si>
  <si>
    <t>ORD-100059</t>
  </si>
  <si>
    <t>Sam Lewis</t>
  </si>
  <si>
    <t>ORD-100060</t>
  </si>
  <si>
    <t>ORD-100061</t>
  </si>
  <si>
    <t>ORD-100062</t>
  </si>
  <si>
    <t>Olivia Moore</t>
  </si>
  <si>
    <t>ORD-100063</t>
  </si>
  <si>
    <t>Sophia Wilson</t>
  </si>
  <si>
    <t>ORD-100064</t>
  </si>
  <si>
    <t>Alex Johnson</t>
  </si>
  <si>
    <t>ORD-100065</t>
  </si>
  <si>
    <t>ORD-100066</t>
  </si>
  <si>
    <t>Casey Wilson</t>
  </si>
  <si>
    <t>ORD-100067</t>
  </si>
  <si>
    <t>ORD-100068</t>
  </si>
  <si>
    <t>Taylor Clark</t>
  </si>
  <si>
    <t>ORD-100069</t>
  </si>
  <si>
    <t>Emma Anderson</t>
  </si>
  <si>
    <t>ORD-100070</t>
  </si>
  <si>
    <t>Ethan Johnson</t>
  </si>
  <si>
    <t>ORD-100071</t>
  </si>
  <si>
    <t>ORD-100072</t>
  </si>
  <si>
    <t>Jordan Taylor</t>
  </si>
  <si>
    <t>ORD-100073</t>
  </si>
  <si>
    <t>Liam Young</t>
  </si>
  <si>
    <t>ORD-100074</t>
  </si>
  <si>
    <t>Ethan Walker</t>
  </si>
  <si>
    <t>ORD-100075</t>
  </si>
  <si>
    <t>Casey Moore</t>
  </si>
  <si>
    <t>ORD-100076</t>
  </si>
  <si>
    <t>Emma Thomas</t>
  </si>
  <si>
    <t>ORD-100077</t>
  </si>
  <si>
    <t>Daniel Young</t>
  </si>
  <si>
    <t>ORD-100078</t>
  </si>
  <si>
    <t>Noah Clark</t>
  </si>
  <si>
    <t>ORD-100079</t>
  </si>
  <si>
    <t>Jamie Brown</t>
  </si>
  <si>
    <t>ORD-100080</t>
  </si>
  <si>
    <t>Chris Moore</t>
  </si>
  <si>
    <t>ORD-100081</t>
  </si>
  <si>
    <t>Jordan Young</t>
  </si>
  <si>
    <t>ORD-100082</t>
  </si>
  <si>
    <t>Mia Taylor</t>
  </si>
  <si>
    <t>ORD-100083</t>
  </si>
  <si>
    <t>Cameron Anderson</t>
  </si>
  <si>
    <t>ORD-100084</t>
  </si>
  <si>
    <t>Morgan Young</t>
  </si>
  <si>
    <t>ORD-100085</t>
  </si>
  <si>
    <t>ORD-100086</t>
  </si>
  <si>
    <t>Noah Taylor</t>
  </si>
  <si>
    <t>ORD-100087</t>
  </si>
  <si>
    <t>Casey Anderson</t>
  </si>
  <si>
    <t>ORD-100088</t>
  </si>
  <si>
    <t>Sam Young</t>
  </si>
  <si>
    <t>ORD-100089</t>
  </si>
  <si>
    <t>Sam Moore</t>
  </si>
  <si>
    <t>ORD-100090</t>
  </si>
  <si>
    <t>Cameron Wilson</t>
  </si>
  <si>
    <t>ORD-100091</t>
  </si>
  <si>
    <t>Mia Martin</t>
  </si>
  <si>
    <t>ORD-100092</t>
  </si>
  <si>
    <t>Emma Smith</t>
  </si>
  <si>
    <t>ORD-100093</t>
  </si>
  <si>
    <t>Avery Brown</t>
  </si>
  <si>
    <t>ORD-100094</t>
  </si>
  <si>
    <t>Jamie Moore</t>
  </si>
  <si>
    <t>ORD-100095</t>
  </si>
  <si>
    <t>ORD-100096</t>
  </si>
  <si>
    <t>Emma Davis</t>
  </si>
  <si>
    <t>ORD-100097</t>
  </si>
  <si>
    <t>Daniel Clark</t>
  </si>
  <si>
    <t>ORD-100098</t>
  </si>
  <si>
    <t>Mia Thomas</t>
  </si>
  <si>
    <t>ORD-100099</t>
  </si>
  <si>
    <t>Casey Thomas</t>
  </si>
  <si>
    <t>ORD-100100</t>
  </si>
  <si>
    <t>Cameron Taylor</t>
  </si>
  <si>
    <t>ORD-100101</t>
  </si>
  <si>
    <t>Sophia Thomas</t>
  </si>
  <si>
    <t>ORD-100102</t>
  </si>
  <si>
    <t>Daniel Moore</t>
  </si>
  <si>
    <t>ORD-100103</t>
  </si>
  <si>
    <t>ORD-100104</t>
  </si>
  <si>
    <t>Ethan Wilson</t>
  </si>
  <si>
    <t>ORD-100105</t>
  </si>
  <si>
    <t>Olivia Anderson</t>
  </si>
  <si>
    <t>ORD-100106</t>
  </si>
  <si>
    <t>Olivia Walker</t>
  </si>
  <si>
    <t>ORD-100107</t>
  </si>
  <si>
    <t>Olivia Johnson</t>
  </si>
  <si>
    <t>ORD-100108</t>
  </si>
  <si>
    <t>ORD-100109</t>
  </si>
  <si>
    <t>ORD-100110</t>
  </si>
  <si>
    <t>ORD-100111</t>
  </si>
  <si>
    <t>Noah Young</t>
  </si>
  <si>
    <t>ORD-100112</t>
  </si>
  <si>
    <t>Morgan Walker</t>
  </si>
  <si>
    <t>ORD-100113</t>
  </si>
  <si>
    <t>Chris Davis</t>
  </si>
  <si>
    <t>ORD-100114</t>
  </si>
  <si>
    <t>Chris Thomas</t>
  </si>
  <si>
    <t>ORD-100115</t>
  </si>
  <si>
    <t>Noah Moore</t>
  </si>
  <si>
    <t>ORD-100116</t>
  </si>
  <si>
    <t>Mia Johnson</t>
  </si>
  <si>
    <t>ORD-100117</t>
  </si>
  <si>
    <t>ORD-100118</t>
  </si>
  <si>
    <t>Riley Johnson</t>
  </si>
  <si>
    <t>ORD-100119</t>
  </si>
  <si>
    <t>Jordan Lewis</t>
  </si>
  <si>
    <t>ORD-100120</t>
  </si>
  <si>
    <t>Morgan Smith</t>
  </si>
  <si>
    <t>ORD-100121</t>
  </si>
  <si>
    <t>Alex Martin</t>
  </si>
  <si>
    <t>ORD-100122</t>
  </si>
  <si>
    <t>Cameron Martin</t>
  </si>
  <si>
    <t>ORD-100123</t>
  </si>
  <si>
    <t>ORD-100124</t>
  </si>
  <si>
    <t>ORD-100125</t>
  </si>
  <si>
    <t>ORD-100126</t>
  </si>
  <si>
    <t>ORD-100127</t>
  </si>
  <si>
    <t>ORD-100128</t>
  </si>
  <si>
    <t>ORD-100129</t>
  </si>
  <si>
    <t>Taylor Wilson</t>
  </si>
  <si>
    <t>ORD-100130</t>
  </si>
  <si>
    <t>ORD-100131</t>
  </si>
  <si>
    <t>Mia Walker</t>
  </si>
  <si>
    <t>ORD-100132</t>
  </si>
  <si>
    <t>ORD-100133</t>
  </si>
  <si>
    <t>Olivia Brown</t>
  </si>
  <si>
    <t>ORD-100134</t>
  </si>
  <si>
    <t>Emma Moore</t>
  </si>
  <si>
    <t>ORD-100135</t>
  </si>
  <si>
    <t>Avery Thomas</t>
  </si>
  <si>
    <t>ORD-100136</t>
  </si>
  <si>
    <t>ORD-100137</t>
  </si>
  <si>
    <t>Jamie Wilson</t>
  </si>
  <si>
    <t>ORD-100138</t>
  </si>
  <si>
    <t>Taylor Johnson</t>
  </si>
  <si>
    <t>ORD-100139</t>
  </si>
  <si>
    <t>ORD-100140</t>
  </si>
  <si>
    <t>ORD-100141</t>
  </si>
  <si>
    <t>Riley Clark</t>
  </si>
  <si>
    <t>ORD-100142</t>
  </si>
  <si>
    <t>Riley Walker</t>
  </si>
  <si>
    <t>ORD-100143</t>
  </si>
  <si>
    <t>ORD-100144</t>
  </si>
  <si>
    <t>Drew Davis</t>
  </si>
  <si>
    <t>ORD-100145</t>
  </si>
  <si>
    <t>Drew Martin</t>
  </si>
  <si>
    <t>ORD-100146</t>
  </si>
  <si>
    <t>Avery Johnson</t>
  </si>
  <si>
    <t>ORD-100147</t>
  </si>
  <si>
    <t>Mia Brown</t>
  </si>
  <si>
    <t>ORD-100148</t>
  </si>
  <si>
    <t>Casey Walker</t>
  </si>
  <si>
    <t>ORD-100149</t>
  </si>
  <si>
    <t>ORD-100150</t>
  </si>
  <si>
    <t>ORD-100151</t>
  </si>
  <si>
    <t>ORD-100152</t>
  </si>
  <si>
    <t>Daniel Johnson</t>
  </si>
  <si>
    <t>ORD-100153</t>
  </si>
  <si>
    <t>ORD-100154</t>
  </si>
  <si>
    <t>ORD-100155</t>
  </si>
  <si>
    <t>Riley Young</t>
  </si>
  <si>
    <t>ORD-100156</t>
  </si>
  <si>
    <t>ORD-100157</t>
  </si>
  <si>
    <t>ORD-100158</t>
  </si>
  <si>
    <t>ORD-100159</t>
  </si>
  <si>
    <t>Cameron Thomas</t>
  </si>
  <si>
    <t>ORD-100160</t>
  </si>
  <si>
    <t>Daniel Smith</t>
  </si>
  <si>
    <t>ORD-100161</t>
  </si>
  <si>
    <t>Daniel Martin</t>
  </si>
  <si>
    <t>ORD-100162</t>
  </si>
  <si>
    <t>Chris Smith</t>
  </si>
  <si>
    <t>ORD-100163</t>
  </si>
  <si>
    <t>Ethan Lewis</t>
  </si>
  <si>
    <t>ORD-100164</t>
  </si>
  <si>
    <t>ORD-100165</t>
  </si>
  <si>
    <t>Chris Anderson</t>
  </si>
  <si>
    <t>ORD-100166</t>
  </si>
  <si>
    <t>Sophia Lewis</t>
  </si>
  <si>
    <t>ORD-100167</t>
  </si>
  <si>
    <t>Sophia Brown</t>
  </si>
  <si>
    <t>ORD-100168</t>
  </si>
  <si>
    <t>Daniel Wilson</t>
  </si>
  <si>
    <t>ORD-100169</t>
  </si>
  <si>
    <t>ORD-100170</t>
  </si>
  <si>
    <t>Taylor Walker</t>
  </si>
  <si>
    <t>ORD-100171</t>
  </si>
  <si>
    <t>Chris Hall</t>
  </si>
  <si>
    <t>ORD-100172</t>
  </si>
  <si>
    <t>Noah Thomas</t>
  </si>
  <si>
    <t>ORD-100173</t>
  </si>
  <si>
    <t>ORD-100174</t>
  </si>
  <si>
    <t>Noah Martin</t>
  </si>
  <si>
    <t>ORD-100175</t>
  </si>
  <si>
    <t>ORD-100176</t>
  </si>
  <si>
    <t>Emma Taylor</t>
  </si>
  <si>
    <t>ORD-100177</t>
  </si>
  <si>
    <t>Taylor Taylor</t>
  </si>
  <si>
    <t>ORD-100178</t>
  </si>
  <si>
    <t>Sam Hall</t>
  </si>
  <si>
    <t>ORD-100179</t>
  </si>
  <si>
    <t>Jamie Davis</t>
  </si>
  <si>
    <t>ORD-100180</t>
  </si>
  <si>
    <t>Alex Anderson</t>
  </si>
  <si>
    <t>ORD-100181</t>
  </si>
  <si>
    <t>ORD-100182</t>
  </si>
  <si>
    <t>Noah Davis</t>
  </si>
  <si>
    <t>ORD-100183</t>
  </si>
  <si>
    <t>Ethan Taylor</t>
  </si>
  <si>
    <t>ORD-100184</t>
  </si>
  <si>
    <t>Morgan Johnson</t>
  </si>
  <si>
    <t>ORD-100185</t>
  </si>
  <si>
    <t>ORD-100186</t>
  </si>
  <si>
    <t>ORD-100187</t>
  </si>
  <si>
    <t>ORD-100188</t>
  </si>
  <si>
    <t>ORD-100189</t>
  </si>
  <si>
    <t>Chris Clark</t>
  </si>
  <si>
    <t>ORD-100190</t>
  </si>
  <si>
    <t>Sam Brown</t>
  </si>
  <si>
    <t>ORD-100191</t>
  </si>
  <si>
    <t>Emma Lewis</t>
  </si>
  <si>
    <t>ORD-100192</t>
  </si>
  <si>
    <t>Sam Anderson</t>
  </si>
  <si>
    <t>ORD-100193</t>
  </si>
  <si>
    <t>Morgan Davis</t>
  </si>
  <si>
    <t>ORD-100194</t>
  </si>
  <si>
    <t>ORD-100195</t>
  </si>
  <si>
    <t>ORD-100196</t>
  </si>
  <si>
    <t>ORD-100197</t>
  </si>
  <si>
    <t>Taylor Lewis</t>
  </si>
  <si>
    <t>ORD-100198</t>
  </si>
  <si>
    <t>Avery Wilson</t>
  </si>
  <si>
    <t>ORD-100199</t>
  </si>
  <si>
    <t>Sophia Davis</t>
  </si>
  <si>
    <t>ORD-100200</t>
  </si>
  <si>
    <t>ORD-100201</t>
  </si>
  <si>
    <t>Riley Taylor</t>
  </si>
  <si>
    <t>ORD-100202</t>
  </si>
  <si>
    <t>ORD-100203</t>
  </si>
  <si>
    <t>ORD-100204</t>
  </si>
  <si>
    <t>ORD-100205</t>
  </si>
  <si>
    <t>Alex Moore</t>
  </si>
  <si>
    <t>ORD-100206</t>
  </si>
  <si>
    <t>ORD-100207</t>
  </si>
  <si>
    <t>ORD-100208</t>
  </si>
  <si>
    <t>ORD-100209</t>
  </si>
  <si>
    <t>ORD-100210</t>
  </si>
  <si>
    <t>ORD-100211</t>
  </si>
  <si>
    <t>Liam Taylor</t>
  </si>
  <si>
    <t>ORD-100212</t>
  </si>
  <si>
    <t>ORD-100213</t>
  </si>
  <si>
    <t>Jamie Walker</t>
  </si>
  <si>
    <t>ORD-100214</t>
  </si>
  <si>
    <t>ORD-100215</t>
  </si>
  <si>
    <t>Noah Brown</t>
  </si>
  <si>
    <t>ORD-100216</t>
  </si>
  <si>
    <t>ORD-100217</t>
  </si>
  <si>
    <t>Taylor Anderson</t>
  </si>
  <si>
    <t>ORD-100218</t>
  </si>
  <si>
    <t>Jamie Young</t>
  </si>
  <si>
    <t>ORD-100219</t>
  </si>
  <si>
    <t>ORD-100220</t>
  </si>
  <si>
    <t>ORD-100221</t>
  </si>
  <si>
    <t>Drew Walker</t>
  </si>
  <si>
    <t>ORD-100222</t>
  </si>
  <si>
    <t>Drew Johnson</t>
  </si>
  <si>
    <t>ORD-100223</t>
  </si>
  <si>
    <t>Olivia Young</t>
  </si>
  <si>
    <t>ORD-100224</t>
  </si>
  <si>
    <t>ORD-100225</t>
  </si>
  <si>
    <t>ORD-100226</t>
  </si>
  <si>
    <t>ORD-100227</t>
  </si>
  <si>
    <t>Emma Johnson</t>
  </si>
  <si>
    <t>ORD-100228</t>
  </si>
  <si>
    <t>Ethan Martin</t>
  </si>
  <si>
    <t>ORD-100229</t>
  </si>
  <si>
    <t>Jordan Clark</t>
  </si>
  <si>
    <t>ORD-100230</t>
  </si>
  <si>
    <t>ORD-100231</t>
  </si>
  <si>
    <t>Avery Smith</t>
  </si>
  <si>
    <t>ORD-100232</t>
  </si>
  <si>
    <t>Avery Anderson</t>
  </si>
  <si>
    <t>ORD-100233</t>
  </si>
  <si>
    <t>Jordan Walker</t>
  </si>
  <si>
    <t>ORD-100234</t>
  </si>
  <si>
    <t>Sam Wilson</t>
  </si>
  <si>
    <t>ORD-100235</t>
  </si>
  <si>
    <t>Casey Young</t>
  </si>
  <si>
    <t>ORD-100236</t>
  </si>
  <si>
    <t>ORD-100237</t>
  </si>
  <si>
    <t>Daniel Davis</t>
  </si>
  <si>
    <t>ORD-100238</t>
  </si>
  <si>
    <t>ORD-100239</t>
  </si>
  <si>
    <t>ORD-100240</t>
  </si>
  <si>
    <t>ORD-100241</t>
  </si>
  <si>
    <t>Liam Martin</t>
  </si>
  <si>
    <t>ORD-100242</t>
  </si>
  <si>
    <t>Sophia Smith</t>
  </si>
  <si>
    <t>ORD-100243</t>
  </si>
  <si>
    <t>Sophia Walker</t>
  </si>
  <si>
    <t>ORD-100244</t>
  </si>
  <si>
    <t>Emma Clark</t>
  </si>
  <si>
    <t>ORD-100245</t>
  </si>
  <si>
    <t>ORD-100246</t>
  </si>
  <si>
    <t>ORD-100247</t>
  </si>
  <si>
    <t>ORD-100248</t>
  </si>
  <si>
    <t>ORD-100249</t>
  </si>
  <si>
    <t>Noah Lewis</t>
  </si>
  <si>
    <t>ORD-100250</t>
  </si>
  <si>
    <t>ORD-100251</t>
  </si>
  <si>
    <t>Cameron Walker</t>
  </si>
  <si>
    <t>ORD-100252</t>
  </si>
  <si>
    <t>Avery Taylor</t>
  </si>
  <si>
    <t>ORD-100253</t>
  </si>
  <si>
    <t>ORD-100254</t>
  </si>
  <si>
    <t>ORD-100255</t>
  </si>
  <si>
    <t>Alex Smith</t>
  </si>
  <si>
    <t>ORD-100256</t>
  </si>
  <si>
    <t>Jamie Hall</t>
  </si>
  <si>
    <t>ORD-100257</t>
  </si>
  <si>
    <t>ORD-100258</t>
  </si>
  <si>
    <t>Sophia Young</t>
  </si>
  <si>
    <t>ORD-100259</t>
  </si>
  <si>
    <t>Riley Wilson</t>
  </si>
  <si>
    <t>ORD-100260</t>
  </si>
  <si>
    <t>Jordan Moore</t>
  </si>
  <si>
    <t>ORD-100261</t>
  </si>
  <si>
    <t>Ethan Clark</t>
  </si>
  <si>
    <t>ORD-100262</t>
  </si>
  <si>
    <t>Riley Anderson</t>
  </si>
  <si>
    <t>ORD-100263</t>
  </si>
  <si>
    <t>ORD-100264</t>
  </si>
  <si>
    <t>ORD-100265</t>
  </si>
  <si>
    <t>Alex Young</t>
  </si>
  <si>
    <t>ORD-100266</t>
  </si>
  <si>
    <t>ORD-100267</t>
  </si>
  <si>
    <t>Daniel Taylor</t>
  </si>
  <si>
    <t>ORD-100268</t>
  </si>
  <si>
    <t>Liam Wilson</t>
  </si>
  <si>
    <t>ORD-100269</t>
  </si>
  <si>
    <t>ORD-100270</t>
  </si>
  <si>
    <t>ORD-100271</t>
  </si>
  <si>
    <t>ORD-100272</t>
  </si>
  <si>
    <t>ORD-100273</t>
  </si>
  <si>
    <t>Jordan Thomas</t>
  </si>
  <si>
    <t>ORD-100274</t>
  </si>
  <si>
    <t>ORD-100275</t>
  </si>
  <si>
    <t>ORD-100276</t>
  </si>
  <si>
    <t>ORD-100277</t>
  </si>
  <si>
    <t>ORD-100278</t>
  </si>
  <si>
    <t>ORD-100279</t>
  </si>
  <si>
    <t>Chris Brown</t>
  </si>
  <si>
    <t>ORD-100280</t>
  </si>
  <si>
    <t>ORD-100281</t>
  </si>
  <si>
    <t>ORD-100282</t>
  </si>
  <si>
    <t>ORD-100283</t>
  </si>
  <si>
    <t>ORD-100284</t>
  </si>
  <si>
    <t>Jamie Martin</t>
  </si>
  <si>
    <t>ORD-100285</t>
  </si>
  <si>
    <t>ORD-100286</t>
  </si>
  <si>
    <t>ORD-100287</t>
  </si>
  <si>
    <t>Casey Smith</t>
  </si>
  <si>
    <t>ORD-100288</t>
  </si>
  <si>
    <t>ORD-100289</t>
  </si>
  <si>
    <t>ORD-100290</t>
  </si>
  <si>
    <t>Mia Young</t>
  </si>
  <si>
    <t>ORD-100291</t>
  </si>
  <si>
    <t>ORD-100292</t>
  </si>
  <si>
    <t>ORD-100293</t>
  </si>
  <si>
    <t>ORD-100294</t>
  </si>
  <si>
    <t>ORD-100295</t>
  </si>
  <si>
    <t>Jamie Lewis</t>
  </si>
  <si>
    <t>ORD-100296</t>
  </si>
  <si>
    <t>Chris Johnson</t>
  </si>
  <si>
    <t>ORD-100297</t>
  </si>
  <si>
    <t>Morgan Lewis</t>
  </si>
  <si>
    <t>ORD-100298</t>
  </si>
  <si>
    <t>ORD-100299</t>
  </si>
  <si>
    <t>ORD-100300</t>
  </si>
  <si>
    <t>ORD-100301</t>
  </si>
  <si>
    <t>ORD-100302</t>
  </si>
  <si>
    <t>ORD-100303</t>
  </si>
  <si>
    <t>Morgan Wilson</t>
  </si>
  <si>
    <t>ORD-100304</t>
  </si>
  <si>
    <t>ORD-100305</t>
  </si>
  <si>
    <t>ORD-100306</t>
  </si>
  <si>
    <t>ORD-100307</t>
  </si>
  <si>
    <t>ORD-100308</t>
  </si>
  <si>
    <t>ORD-100309</t>
  </si>
  <si>
    <t>ORD-100310</t>
  </si>
  <si>
    <t>Sophia Johnson</t>
  </si>
  <si>
    <t>ORD-100311</t>
  </si>
  <si>
    <t>ORD-100312</t>
  </si>
  <si>
    <t>ORD-100313</t>
  </si>
  <si>
    <t>ORD-100314</t>
  </si>
  <si>
    <t>Emma Brown</t>
  </si>
  <si>
    <t>ORD-100315</t>
  </si>
  <si>
    <t>ORD-100316</t>
  </si>
  <si>
    <t>ORD-100317</t>
  </si>
  <si>
    <t>ORD-100318</t>
  </si>
  <si>
    <t>ORD-100319</t>
  </si>
  <si>
    <t>ORD-100320</t>
  </si>
  <si>
    <t>ORD-100321</t>
  </si>
  <si>
    <t>ORD-100322</t>
  </si>
  <si>
    <t>ORD-100323</t>
  </si>
  <si>
    <t>Ethan Thomas</t>
  </si>
  <si>
    <t>ORD-100324</t>
  </si>
  <si>
    <t>ORD-100325</t>
  </si>
  <si>
    <t>ORD-100326</t>
  </si>
  <si>
    <t>Olivia Taylor</t>
  </si>
  <si>
    <t>ORD-100327</t>
  </si>
  <si>
    <t>Drew Young</t>
  </si>
  <si>
    <t>ORD-100328</t>
  </si>
  <si>
    <t>ORD-100329</t>
  </si>
  <si>
    <t>ORD-100330</t>
  </si>
  <si>
    <t>Mia Davis</t>
  </si>
  <si>
    <t>ORD-100331</t>
  </si>
  <si>
    <t>ORD-100332</t>
  </si>
  <si>
    <t>ORD-100333</t>
  </si>
  <si>
    <t>ORD-100334</t>
  </si>
  <si>
    <t>Taylor Moore</t>
  </si>
  <si>
    <t>ORD-100335</t>
  </si>
  <si>
    <t>Jamie Smith</t>
  </si>
  <si>
    <t>ORD-100336</t>
  </si>
  <si>
    <t>Drew Clark</t>
  </si>
  <si>
    <t>ORD-100337</t>
  </si>
  <si>
    <t>Avery Davis</t>
  </si>
  <si>
    <t>ORD-100338</t>
  </si>
  <si>
    <t>Cameron Clark</t>
  </si>
  <si>
    <t>ORD-100339</t>
  </si>
  <si>
    <t>Jordan Johnson</t>
  </si>
  <si>
    <t>ORD-100340</t>
  </si>
  <si>
    <t>ORD-100341</t>
  </si>
  <si>
    <t>ORD-100342</t>
  </si>
  <si>
    <t>ORD-100343</t>
  </si>
  <si>
    <t>ORD-100344</t>
  </si>
  <si>
    <t>ORD-100345</t>
  </si>
  <si>
    <t>ORD-100346</t>
  </si>
  <si>
    <t>ORD-100347</t>
  </si>
  <si>
    <t>ORD-100348</t>
  </si>
  <si>
    <t>Jordan Smith</t>
  </si>
  <si>
    <t>ORD-100349</t>
  </si>
  <si>
    <t>Alex Clark</t>
  </si>
  <si>
    <t>ORD-100350</t>
  </si>
  <si>
    <t>ORD-100351</t>
  </si>
  <si>
    <t>ORD-100352</t>
  </si>
  <si>
    <t>ORD-100353</t>
  </si>
  <si>
    <t>ORD-100354</t>
  </si>
  <si>
    <t>ORD-100355</t>
  </si>
  <si>
    <t>ORD-100356</t>
  </si>
  <si>
    <t>ORD-100357</t>
  </si>
  <si>
    <t>Morgan Anderson</t>
  </si>
  <si>
    <t>ORD-100358</t>
  </si>
  <si>
    <t>ORD-100359</t>
  </si>
  <si>
    <t>ORD-100360</t>
  </si>
  <si>
    <t>ORD-100361</t>
  </si>
  <si>
    <t>Drew Thomas</t>
  </si>
  <si>
    <t>ORD-100362</t>
  </si>
  <si>
    <t>ORD-100363</t>
  </si>
  <si>
    <t>Liam Clark</t>
  </si>
  <si>
    <t>ORD-100364</t>
  </si>
  <si>
    <t>ORD-100365</t>
  </si>
  <si>
    <t>Drew Taylor</t>
  </si>
  <si>
    <t>ORD-100366</t>
  </si>
  <si>
    <t>ORD-100367</t>
  </si>
  <si>
    <t>Avery Walker</t>
  </si>
  <si>
    <t>ORD-100368</t>
  </si>
  <si>
    <t>Taylor Smith</t>
  </si>
  <si>
    <t>ORD-100369</t>
  </si>
  <si>
    <t>ORD-100370</t>
  </si>
  <si>
    <t>ORD-100371</t>
  </si>
  <si>
    <t>Liam Hall</t>
  </si>
  <si>
    <t>ORD-100372</t>
  </si>
  <si>
    <t>Sophia Moore</t>
  </si>
  <si>
    <t>ORD-100373</t>
  </si>
  <si>
    <t>ORD-100374</t>
  </si>
  <si>
    <t>Casey Taylor</t>
  </si>
  <si>
    <t>ORD-100375</t>
  </si>
  <si>
    <t>ORD-100376</t>
  </si>
  <si>
    <t>ORD-100377</t>
  </si>
  <si>
    <t>ORD-100378</t>
  </si>
  <si>
    <t>Taylor Martin</t>
  </si>
  <si>
    <t>ORD-100379</t>
  </si>
  <si>
    <t>Avery Clark</t>
  </si>
  <si>
    <t>ORD-100380</t>
  </si>
  <si>
    <t>ORD-100381</t>
  </si>
  <si>
    <t>ORD-100382</t>
  </si>
  <si>
    <t>ORD-100383</t>
  </si>
  <si>
    <t>Morgan Moore</t>
  </si>
  <si>
    <t>ORD-100384</t>
  </si>
  <si>
    <t>Ethan Brown</t>
  </si>
  <si>
    <t>ORD-100385</t>
  </si>
  <si>
    <t>ORD-100386</t>
  </si>
  <si>
    <t>ORD-100387</t>
  </si>
  <si>
    <t>ORD-100388</t>
  </si>
  <si>
    <t>ORD-100389</t>
  </si>
  <si>
    <t>Jamie Clark</t>
  </si>
  <si>
    <t>ORD-100390</t>
  </si>
  <si>
    <t>ORD-100391</t>
  </si>
  <si>
    <t>ORD-100392</t>
  </si>
  <si>
    <t>ORD-100393</t>
  </si>
  <si>
    <t>Olivia Martin</t>
  </si>
  <si>
    <t>ORD-100394</t>
  </si>
  <si>
    <t>Chris Lewis</t>
  </si>
  <si>
    <t>ORD-100395</t>
  </si>
  <si>
    <t>ORD-100396</t>
  </si>
  <si>
    <t>ORD-100397</t>
  </si>
  <si>
    <t>ORD-100398</t>
  </si>
  <si>
    <t>Liam Anderson</t>
  </si>
  <si>
    <t>ORD-100399</t>
  </si>
  <si>
    <t>Alex Hall</t>
  </si>
  <si>
    <t>ORD-100400</t>
  </si>
  <si>
    <t>ORD-100401</t>
  </si>
  <si>
    <t>Cameron Young</t>
  </si>
  <si>
    <t>ORD-100402</t>
  </si>
  <si>
    <t>ORD-100403</t>
  </si>
  <si>
    <t>ORD-100404</t>
  </si>
  <si>
    <t>ORD-100405</t>
  </si>
  <si>
    <t>ORD-100406</t>
  </si>
  <si>
    <t>Noah Walker</t>
  </si>
  <si>
    <t>ORD-100407</t>
  </si>
  <si>
    <t>ORD-100408</t>
  </si>
  <si>
    <t>ORD-100409</t>
  </si>
  <si>
    <t>ORD-100410</t>
  </si>
  <si>
    <t>Sam Johnson</t>
  </si>
  <si>
    <t>ORD-100411</t>
  </si>
  <si>
    <t>Morgan Thomas</t>
  </si>
  <si>
    <t>ORD-100412</t>
  </si>
  <si>
    <t>Chris Walker</t>
  </si>
  <si>
    <t>ORD-100413</t>
  </si>
  <si>
    <t>ORD-100414</t>
  </si>
  <si>
    <t>ORD-100415</t>
  </si>
  <si>
    <t>ORD-100416</t>
  </si>
  <si>
    <t>ORD-100417</t>
  </si>
  <si>
    <t>ORD-100418</t>
  </si>
  <si>
    <t>ORD-100419</t>
  </si>
  <si>
    <t>ORD-100420</t>
  </si>
  <si>
    <t>ORD-100421</t>
  </si>
  <si>
    <t>ORD-100422</t>
  </si>
  <si>
    <t>Mia Smith</t>
  </si>
  <si>
    <t>ORD-100423</t>
  </si>
  <si>
    <t>ORD-100424</t>
  </si>
  <si>
    <t>ORD-100425</t>
  </si>
  <si>
    <t>ORD-100426</t>
  </si>
  <si>
    <t>Ethan Davis</t>
  </si>
  <si>
    <t>ORD-100427</t>
  </si>
  <si>
    <t>ORD-100428</t>
  </si>
  <si>
    <t>ORD-100429</t>
  </si>
  <si>
    <t>ORD-100430</t>
  </si>
  <si>
    <t>ORD-100431</t>
  </si>
  <si>
    <t>Riley Lewis</t>
  </si>
  <si>
    <t>ORD-100432</t>
  </si>
  <si>
    <t>ORD-100433</t>
  </si>
  <si>
    <t>ORD-100434</t>
  </si>
  <si>
    <t>ORD-100435</t>
  </si>
  <si>
    <t>ORD-100436</t>
  </si>
  <si>
    <t>ORD-100437</t>
  </si>
  <si>
    <t>ORD-100438</t>
  </si>
  <si>
    <t>ORD-100439</t>
  </si>
  <si>
    <t>ORD-100440</t>
  </si>
  <si>
    <t>Olivia Smith</t>
  </si>
  <si>
    <t>ORD-100441</t>
  </si>
  <si>
    <t>Liam Johnson</t>
  </si>
  <si>
    <t>ORD-100442</t>
  </si>
  <si>
    <t>ORD-100443</t>
  </si>
  <si>
    <t>ORD-100444</t>
  </si>
  <si>
    <t>ORD-100445</t>
  </si>
  <si>
    <t>ORD-100446</t>
  </si>
  <si>
    <t>ORD-100447</t>
  </si>
  <si>
    <t>ORD-100448</t>
  </si>
  <si>
    <t>Daniel Anderson</t>
  </si>
  <si>
    <t>ORD-100449</t>
  </si>
  <si>
    <t>ORD-100450</t>
  </si>
  <si>
    <t>ORD-100451</t>
  </si>
  <si>
    <t>Olivia Hall</t>
  </si>
  <si>
    <t>ORD-100452</t>
  </si>
  <si>
    <t>ORD-100453</t>
  </si>
  <si>
    <t>Daniel Hall</t>
  </si>
  <si>
    <t>ORD-100454</t>
  </si>
  <si>
    <t>ORD-100455</t>
  </si>
  <si>
    <t>Sophia Clark</t>
  </si>
  <si>
    <t>ORD-100456</t>
  </si>
  <si>
    <t>ORD-100457</t>
  </si>
  <si>
    <t>ORD-100458</t>
  </si>
  <si>
    <t>Jamie Anderson</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</si>
  <si>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</si>
  <si>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</si>
  <si>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</si>
  <si>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</si>
  <si>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</si>
  <si>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</si>
  <si>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</si>
  <si>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</si>
  <si>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</si>
  <si>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</si>
  <si>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</si>
  <si>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</si>
  <si>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</si>
  <si>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</si>
  <si>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</si>
  <si>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</si>
  <si>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</si>
  <si>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Jamie Taylor</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</si>
  <si>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</si>
  <si>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</si>
  <si>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</si>
  <si>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</si>
  <si>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</si>
  <si>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</si>
  <si>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</si>
  <si>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</si>
  <si>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</si>
  <si>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</si>
  <si>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</si>
  <si>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</si>
  <si>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</si>
  <si>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</si>
  <si>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</si>
  <si>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</si>
  <si>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Jordan Martin</t>
  </si>
  <si>
    <t>ORD-100492</t>
  </si>
  <si>
    <t>ORD-100493</t>
  </si>
  <si>
    <t>ORD-100494</t>
  </si>
  <si>
    <t>ORD-100495</t>
  </si>
  <si>
    <t>ORD-100496</t>
  </si>
  <si>
    <t>ORD-100497</t>
  </si>
  <si>
    <t>ORD-100498</t>
  </si>
  <si>
    <t>ORD-100499</t>
  </si>
  <si>
    <t>Sophia Martin</t>
  </si>
  <si>
    <t>ORD-100500</t>
  </si>
  <si>
    <t>ORD-100501</t>
  </si>
  <si>
    <t>ORD-100502</t>
  </si>
  <si>
    <t>ORD-100503</t>
  </si>
  <si>
    <t>ORD-100504</t>
  </si>
  <si>
    <t>ORD-100505</t>
  </si>
  <si>
    <t>ORD-100506</t>
  </si>
  <si>
    <t>ORD-100507</t>
  </si>
  <si>
    <t>ORD-100508</t>
  </si>
  <si>
    <t>ORD-100509</t>
  </si>
  <si>
    <t>ORD-100510</t>
  </si>
  <si>
    <t>ORD-100511</t>
  </si>
  <si>
    <t>Riley Brown</t>
  </si>
  <si>
    <t>ORD-100512</t>
  </si>
  <si>
    <t>ORD-100513</t>
  </si>
  <si>
    <t>ORD-100514</t>
  </si>
  <si>
    <t>ORD-100515</t>
  </si>
  <si>
    <t>ORD-100516</t>
  </si>
  <si>
    <t>Sam Walker</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</si>
  <si>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</si>
  <si>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</si>
  <si>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</si>
  <si>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</si>
  <si>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</si>
  <si>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</si>
  <si>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</si>
  <si>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</si>
  <si>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</si>
  <si>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</si>
  <si>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</si>
  <si>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</si>
  <si>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</si>
  <si>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</si>
  <si>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</si>
  <si>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</si>
  <si>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</si>
  <si>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</si>
  <si>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</si>
  <si>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Drew Smith</t>
  </si>
  <si>
    <t>ORD-100536</t>
  </si>
  <si>
    <t>ORD-100537</t>
  </si>
  <si>
    <t>ORD-100538</t>
  </si>
  <si>
    <t>ORD-100539</t>
  </si>
  <si>
    <t>ORD-100540</t>
  </si>
  <si>
    <t>ORD-100541</t>
  </si>
  <si>
    <t>Taylor Brown</t>
  </si>
  <si>
    <t>ORD-100542</t>
  </si>
  <si>
    <t>Riley Thomas</t>
  </si>
  <si>
    <t>ORD-100543</t>
  </si>
  <si>
    <t>ORD-100544</t>
  </si>
  <si>
    <t>ORD-100545</t>
  </si>
  <si>
    <t>ORD-100546</t>
  </si>
  <si>
    <t>ORD-100547</t>
  </si>
  <si>
    <t>Riley Davis</t>
  </si>
  <si>
    <t>ORD-100548</t>
  </si>
  <si>
    <t>ORD-100549</t>
  </si>
  <si>
    <t>ORD-100550</t>
  </si>
  <si>
    <t>ORD-100551</t>
  </si>
  <si>
    <t>ORD-100552</t>
  </si>
  <si>
    <t>ORD-100553</t>
  </si>
  <si>
    <t>Liam Lewis</t>
  </si>
  <si>
    <t>ORD-100554</t>
  </si>
  <si>
    <t>Cameron Smith</t>
  </si>
  <si>
    <t>ORD-100555</t>
  </si>
  <si>
    <t>ORD-100556</t>
  </si>
  <si>
    <t>Drew Anderson</t>
  </si>
  <si>
    <t>ORD-100557</t>
  </si>
  <si>
    <t>ORD-100558</t>
  </si>
  <si>
    <t>Ethan Moore</t>
  </si>
  <si>
    <t>ORD-100559</t>
  </si>
  <si>
    <t>ORD-100560</t>
  </si>
  <si>
    <t>ORD-100561</t>
  </si>
  <si>
    <t>ORD-100562</t>
  </si>
  <si>
    <t>ORD-100563</t>
  </si>
  <si>
    <t>ORD-100564</t>
  </si>
  <si>
    <t>ORD-100565</t>
  </si>
  <si>
    <t>ORD-100566</t>
  </si>
  <si>
    <t>ORD-100567</t>
  </si>
  <si>
    <t>ORD-100568</t>
  </si>
  <si>
    <t>ORD-100569</t>
  </si>
  <si>
    <t>Avery Lewis</t>
  </si>
  <si>
    <t>ORD-100570</t>
  </si>
  <si>
    <t>Sophia Hall</t>
  </si>
  <si>
    <t>ORD-100571</t>
  </si>
  <si>
    <t>Noah Smith</t>
  </si>
  <si>
    <t>ORD-100572</t>
  </si>
  <si>
    <t>ORD-100573</t>
  </si>
  <si>
    <t>ORD-100574</t>
  </si>
  <si>
    <t>ORD-100575</t>
  </si>
  <si>
    <t>Avery Hall</t>
  </si>
  <si>
    <t>ORD-100576</t>
  </si>
  <si>
    <t>ORD-100577</t>
  </si>
  <si>
    <t>ORD-100578</t>
  </si>
  <si>
    <t>ORD-100579</t>
  </si>
  <si>
    <t>Olivia Lewis</t>
  </si>
  <si>
    <t>ORD-100580</t>
  </si>
  <si>
    <t>ORD-100581</t>
  </si>
  <si>
    <t>ORD-100582</t>
  </si>
  <si>
    <t>ORD-100583</t>
  </si>
  <si>
    <t>ORD-100584</t>
  </si>
  <si>
    <t>ORD-100585</t>
  </si>
  <si>
    <t>ORD-100586</t>
  </si>
  <si>
    <t>ORD-100587</t>
  </si>
  <si>
    <t>Alex Lewis</t>
  </si>
  <si>
    <t>ORD-100588</t>
  </si>
  <si>
    <t>ORD-100589</t>
  </si>
  <si>
    <t>ORD-100590</t>
  </si>
  <si>
    <t>ORD-100591</t>
  </si>
  <si>
    <t>ORD-100592</t>
  </si>
  <si>
    <t>ORD-100593</t>
  </si>
  <si>
    <t>ORD-100594</t>
  </si>
  <si>
    <t>Emma Hall</t>
  </si>
  <si>
    <t>ORD-100595</t>
  </si>
  <si>
    <t>ORD-100596</t>
  </si>
  <si>
    <t>ORD-100597</t>
  </si>
  <si>
    <t>ORD-100598</t>
  </si>
  <si>
    <t>Olivia Wilson</t>
  </si>
  <si>
    <t>ORD-100599</t>
  </si>
  <si>
    <t>ORD-100600</t>
  </si>
  <si>
    <t>ORD-100601</t>
  </si>
  <si>
    <t>ORD-100602</t>
  </si>
  <si>
    <t>ORD-100603</t>
  </si>
  <si>
    <t>ORD-100604</t>
  </si>
  <si>
    <t>ORD-100605</t>
  </si>
  <si>
    <t>ORD-100606</t>
  </si>
  <si>
    <t>Casey Clark</t>
  </si>
  <si>
    <t>ORD-100607</t>
  </si>
  <si>
    <t>ORD-100608</t>
  </si>
  <si>
    <t>ORD-100609</t>
  </si>
  <si>
    <t>ORD-100610</t>
  </si>
  <si>
    <t>ORD-100611</t>
  </si>
  <si>
    <t>ORD-100612</t>
  </si>
  <si>
    <t>Olivia Thomas</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</si>
  <si>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</si>
  <si>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</si>
  <si>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</si>
  <si>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</si>
  <si>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</si>
  <si>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</si>
  <si>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</si>
  <si>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</si>
  <si>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</si>
  <si>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</si>
  <si>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</si>
  <si>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</si>
  <si>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</si>
  <si>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</si>
  <si>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</si>
  <si>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</si>
  <si>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</si>
  <si>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</si>
  <si>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</si>
  <si>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</si>
  <si>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</si>
  <si>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</si>
  <si>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</si>
  <si>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Liam Smith</t>
  </si>
  <si>
    <t>ORD-100636</t>
  </si>
  <si>
    <t>ORD-100637</t>
  </si>
  <si>
    <t>ORD-100638</t>
  </si>
  <si>
    <t>ORD-100639</t>
  </si>
  <si>
    <t>ORD-100640</t>
  </si>
  <si>
    <t>ORD-100641</t>
  </si>
  <si>
    <t>ORD-100642</t>
  </si>
  <si>
    <t>ORD-100643</t>
  </si>
  <si>
    <t>ORD-100644</t>
  </si>
  <si>
    <t>ORD-100645</t>
  </si>
  <si>
    <t>ORD-100646</t>
  </si>
  <si>
    <t>Taylor Hall</t>
  </si>
  <si>
    <t>ORD-100647</t>
  </si>
  <si>
    <t>ORD-100648</t>
  </si>
  <si>
    <t>ORD-100649</t>
  </si>
  <si>
    <t>ORD-100650</t>
  </si>
  <si>
    <t>ORD-100651</t>
  </si>
  <si>
    <t>ORD-100652</t>
  </si>
  <si>
    <t>ORD-100653</t>
  </si>
  <si>
    <t>ORD-100654</t>
  </si>
  <si>
    <t>ORD-100655</t>
  </si>
  <si>
    <t>ORD-100656</t>
  </si>
  <si>
    <t>ORD-100657</t>
  </si>
  <si>
    <t>ORD-100658</t>
  </si>
  <si>
    <t>ORD-100659</t>
  </si>
  <si>
    <t>ORD-100660</t>
  </si>
  <si>
    <t>ORD-100661</t>
  </si>
  <si>
    <t>Mia Anderson</t>
  </si>
  <si>
    <t>ORD-100662</t>
  </si>
  <si>
    <t>ORD-100663</t>
  </si>
  <si>
    <t>ORD-100664</t>
  </si>
  <si>
    <t>ORD-100665</t>
  </si>
  <si>
    <t>ORD-100666</t>
  </si>
  <si>
    <t>ORD-100667</t>
  </si>
  <si>
    <t>ORD-100668</t>
  </si>
  <si>
    <t>ORD-100669</t>
  </si>
  <si>
    <t>Jordan Anderson</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</si>
  <si>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</si>
  <si>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</si>
  <si>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</si>
  <si>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</si>
  <si>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</si>
  <si>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</si>
  <si>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</si>
  <si>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</si>
  <si>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</si>
  <si>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</si>
  <si>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</si>
  <si>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</si>
  <si>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</si>
  <si>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</si>
  <si>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</si>
  <si>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</si>
  <si>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</si>
  <si>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</si>
  <si>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</si>
  <si>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</si>
  <si>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Emma Martin</t>
  </si>
  <si>
    <t>ORD-100690</t>
  </si>
  <si>
    <t>ORD-100691</t>
  </si>
  <si>
    <t>ORD-100692</t>
  </si>
  <si>
    <t>ORD-100693</t>
  </si>
  <si>
    <t>ORD-100694</t>
  </si>
  <si>
    <t>ORD-100695</t>
  </si>
  <si>
    <t>ORD-100696</t>
  </si>
  <si>
    <t>ORD-100697</t>
  </si>
  <si>
    <t>Sam Thomas</t>
  </si>
  <si>
    <t>ORD-100698</t>
  </si>
  <si>
    <t>Daniel Thomas</t>
  </si>
  <si>
    <t>ORD-100699</t>
  </si>
  <si>
    <t>ORD-100700</t>
  </si>
  <si>
    <t>ORD-100701</t>
  </si>
  <si>
    <t>ORD-100702</t>
  </si>
  <si>
    <t>Noah Johnson</t>
  </si>
  <si>
    <t>ORD-100703</t>
  </si>
  <si>
    <t>ORD-100704</t>
  </si>
  <si>
    <t>ORD-100705</t>
  </si>
  <si>
    <t>ORD-100706</t>
  </si>
  <si>
    <t>ORD-100707</t>
  </si>
  <si>
    <t>ORD-100708</t>
  </si>
  <si>
    <t>ORD-100709</t>
  </si>
  <si>
    <t>ORD-100710</t>
  </si>
  <si>
    <t>ORD-100711</t>
  </si>
  <si>
    <t>ORD-100712</t>
  </si>
  <si>
    <t>Jordan Wilson</t>
  </si>
  <si>
    <t>ORD-100713</t>
  </si>
  <si>
    <t>ORD-100714</t>
  </si>
  <si>
    <t>Avery Martin</t>
  </si>
  <si>
    <t>ORD-100715</t>
  </si>
  <si>
    <t>ORD-100716</t>
  </si>
  <si>
    <t>Drew Moore</t>
  </si>
  <si>
    <t>ORD-100717</t>
  </si>
  <si>
    <t>ORD-100718</t>
  </si>
  <si>
    <t>ORD-100719</t>
  </si>
  <si>
    <t>ORD-100720</t>
  </si>
  <si>
    <t>ORD-100721</t>
  </si>
  <si>
    <t>ORD-100722</t>
  </si>
  <si>
    <t>Cameron Johnson</t>
  </si>
  <si>
    <t>ORD-100723</t>
  </si>
  <si>
    <t>ORD-100724</t>
  </si>
  <si>
    <t>ORD-100725</t>
  </si>
  <si>
    <t>ORD-100726</t>
  </si>
  <si>
    <t>ORD-100727</t>
  </si>
  <si>
    <t>ORD-100728</t>
  </si>
  <si>
    <t>ORD-100729</t>
  </si>
  <si>
    <t>ORD-100730</t>
  </si>
  <si>
    <t>ORD-100731</t>
  </si>
  <si>
    <t>Liam Walker</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</si>
  <si>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</si>
  <si>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</si>
  <si>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</si>
  <si>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</si>
  <si>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</si>
  <si>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</si>
  <si>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</si>
  <si>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</si>
  <si>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</si>
  <si>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</si>
  <si>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</si>
  <si>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</si>
  <si>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</si>
  <si>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</si>
  <si>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</si>
  <si>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</si>
  <si>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</si>
  <si>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</si>
  <si>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</si>
  <si>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</si>
  <si>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</si>
  <si>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Sam Smith</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</si>
  <si>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</si>
  <si>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</si>
  <si>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</si>
  <si>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</si>
  <si>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</si>
  <si>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</si>
  <si>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</si>
  <si>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</si>
  <si>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</si>
  <si>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</si>
  <si>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</si>
  <si>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</si>
  <si>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</si>
  <si>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</si>
  <si>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</si>
  <si>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</si>
  <si>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</si>
  <si>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</si>
  <si>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</si>
  <si>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</si>
  <si>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</si>
  <si>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</si>
  <si>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</si>
  <si>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</si>
  <si>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</si>
  <si>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</si>
  <si>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</si>
  <si>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</si>
  <si>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</si>
  <si>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</si>
  <si>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</si>
  <si>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</si>
  <si>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</si>
  <si>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</si>
  <si>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</si>
  <si>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</si>
  <si>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</si>
  <si>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</si>
  <si>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</si>
  <si>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</si>
  <si>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</si>
  <si>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</si>
  <si>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</si>
  <si>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</si>
  <si>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</si>
  <si>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</si>
  <si>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</si>
  <si>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</si>
  <si>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</si>
  <si>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Casey Johnson</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</si>
  <si>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</si>
  <si>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</si>
  <si>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</si>
  <si>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</si>
  <si>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</si>
  <si>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</si>
  <si>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</si>
  <si>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</si>
  <si>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</si>
  <si>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</si>
  <si>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</si>
  <si>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</si>
  <si>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</si>
  <si>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</si>
  <si>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</si>
  <si>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</si>
  <si>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</si>
  <si>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</si>
  <si>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</si>
  <si>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</si>
  <si>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</si>
  <si>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</si>
  <si>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</si>
  <si>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</si>
  <si>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</si>
  <si>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</si>
  <si>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</si>
  <si>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</si>
  <si>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</si>
  <si>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</si>
  <si>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</si>
  <si>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</si>
  <si>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</si>
  <si>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</si>
  <si>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</si>
  <si>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</si>
  <si>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</si>
  <si>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</si>
  <si>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</si>
  <si>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</si>
  <si>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</si>
  <si>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</si>
  <si>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</si>
  <si>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</si>
  <si>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</si>
  <si>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</si>
  <si>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</si>
  <si>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</si>
  <si>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</si>
  <si>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</si>
  <si>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</si>
  <si>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Cameron Hall</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</si>
  <si>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</si>
  <si>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</si>
  <si>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</si>
  <si>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</si>
  <si>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</si>
  <si>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</si>
  <si>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</si>
  <si>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</si>
  <si>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</si>
  <si>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</si>
  <si>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</si>
  <si>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</si>
  <si>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</si>
  <si>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</si>
  <si>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</si>
  <si>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</si>
  <si>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</si>
  <si>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Riley Moore</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</si>
  <si>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</si>
  <si>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</si>
  <si>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</si>
  <si>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</si>
  <si>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</si>
  <si>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</si>
  <si>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</si>
  <si>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</si>
  <si>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</si>
  <si>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</si>
  <si>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</si>
  <si>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</si>
  <si>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</si>
  <si>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</si>
  <si>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</si>
  <si>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</si>
  <si>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</si>
  <si>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</si>
  <si>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</si>
  <si>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</si>
  <si>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</si>
  <si>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</si>
  <si>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</si>
  <si>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</si>
  <si>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</si>
  <si>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</si>
  <si>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</si>
  <si>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</si>
  <si>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</si>
  <si>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</si>
  <si>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</si>
  <si>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</si>
  <si>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</si>
  <si>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</si>
  <si>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</si>
  <si>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</si>
  <si>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</si>
  <si>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</si>
  <si>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</si>
  <si>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</si>
  <si>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</si>
  <si>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</si>
  <si>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</si>
  <si>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</si>
  <si>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</si>
  <si>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</si>
  <si>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</si>
  <si>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</si>
  <si>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</si>
  <si>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</si>
  <si>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</si>
  <si>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Avery Young</t>
  </si>
  <si>
    <t>ORD-100921</t>
  </si>
  <si>
    <t>ORD-100922</t>
  </si>
  <si>
    <t>Morgan Brown</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</si>
  <si>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</si>
  <si>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</si>
  <si>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</si>
  <si>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</si>
  <si>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</si>
  <si>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</si>
  <si>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</si>
  <si>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</si>
  <si>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</si>
  <si>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</si>
  <si>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</si>
  <si>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</si>
  <si>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</si>
  <si>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</si>
  <si>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</si>
  <si>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</si>
  <si>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</si>
  <si>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</si>
  <si>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</si>
  <si>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</si>
  <si>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</si>
  <si>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</si>
  <si>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</si>
  <si>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</si>
  <si>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</si>
  <si>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</si>
  <si>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</si>
  <si>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</si>
  <si>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</si>
  <si>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</si>
  <si>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</si>
  <si>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</si>
  <si>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</si>
  <si>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Drew Wilson</t>
  </si>
  <si>
    <t>ORD-100956</t>
  </si>
  <si>
    <t>ORD-100957</t>
  </si>
  <si>
    <t>ORD-100958</t>
  </si>
  <si>
    <t>Morgan Clark</t>
  </si>
  <si>
    <t>ORD-100959</t>
  </si>
  <si>
    <t>ORD-100960</t>
  </si>
  <si>
    <t>ORD-100961</t>
  </si>
  <si>
    <t>ORD-100962</t>
  </si>
  <si>
    <t>ORD-100963</t>
  </si>
  <si>
    <t>ORD-100964</t>
  </si>
  <si>
    <t>ORD-100965</t>
  </si>
  <si>
    <t>ORD-100966</t>
  </si>
  <si>
    <t>ORD-100967</t>
  </si>
  <si>
    <t>ORD-100968</t>
  </si>
  <si>
    <t>ORD-100969</t>
  </si>
  <si>
    <t>ORD-100970</t>
  </si>
  <si>
    <t>ORD-100971</t>
  </si>
  <si>
    <t>ORD-100972</t>
  </si>
  <si>
    <t>ORD-100973</t>
  </si>
  <si>
    <t>Ethan Smith</t>
  </si>
  <si>
    <t>ORD-100974</t>
  </si>
  <si>
    <t>ORD-100975</t>
  </si>
  <si>
    <t>ORD-100976</t>
  </si>
  <si>
    <t>ORD-100977</t>
  </si>
  <si>
    <t>Emma Walker</t>
  </si>
  <si>
    <t>ORD-100978</t>
  </si>
  <si>
    <t>ORD-100979</t>
  </si>
  <si>
    <t>ORD-100980</t>
  </si>
  <si>
    <t>ORD-100981</t>
  </si>
  <si>
    <t>ORD-100982</t>
  </si>
  <si>
    <t>Taylor Young</t>
  </si>
  <si>
    <t>ORD-100983</t>
  </si>
  <si>
    <t>ORD-100984</t>
  </si>
  <si>
    <t>ORD-100985</t>
  </si>
  <si>
    <t>ORD-100986</t>
  </si>
  <si>
    <t>ORD-100987</t>
  </si>
  <si>
    <t>ORD-100988</t>
  </si>
  <si>
    <t>ORD-100989</t>
  </si>
  <si>
    <t>ORD-100990</t>
  </si>
  <si>
    <t>Mia Hall</t>
  </si>
  <si>
    <t>ORD-100991</t>
  </si>
  <si>
    <t>ORD-100992</t>
  </si>
  <si>
    <t>ORD-100993</t>
  </si>
  <si>
    <t>ORD-100994</t>
  </si>
  <si>
    <t>ORD-100995</t>
  </si>
  <si>
    <t>ORD-100996</t>
  </si>
  <si>
    <t>ORD-100997</t>
  </si>
  <si>
    <t>ORD-100998</t>
  </si>
  <si>
    <t>ORD-100999</t>
  </si>
  <si>
    <t>ORD-101000</t>
  </si>
  <si>
    <t>TOTAL SALES</t>
  </si>
  <si>
    <t>TOTAL PROFIT</t>
  </si>
  <si>
    <t>TOTAL ORDERS</t>
  </si>
  <si>
    <t>AVERAGE ORDER VALUE</t>
  </si>
  <si>
    <t>Row Labels</t>
  </si>
  <si>
    <t>Grand Total</t>
  </si>
  <si>
    <t>Sum of Sales</t>
  </si>
  <si>
    <t>Sum of Profit</t>
  </si>
  <si>
    <t>Jan</t>
  </si>
  <si>
    <t>Feb</t>
  </si>
  <si>
    <t>Mar</t>
  </si>
  <si>
    <t>Apr</t>
  </si>
  <si>
    <t>May</t>
  </si>
  <si>
    <t>Jun</t>
  </si>
  <si>
    <t>Jul</t>
  </si>
  <si>
    <t>Aug</t>
  </si>
  <si>
    <t>Sep</t>
  </si>
  <si>
    <t>Oct</t>
  </si>
  <si>
    <t>Nov</t>
  </si>
  <si>
    <t>Dec</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</si>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</sst>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6" fillId="33" borderId="10" xfId="0" applyFont="1" applyFill="1" applyBorder="1"/>
    <xf numFmtId="44" fontId="18" fillId="33" borderId="10" xfId="1" applyFont="1" applyFill="1" applyBorder="1"/>
    <xf numFmtId="1" fontId="18" fillId="33" borderId="10" xfId="1" applyNumberFormat="1" applyFont="1" applyFill="1" applyBorder="1"/>
    <xf numFmtId="0" fontId="19" fillId="0" borderId="0" xfId="0" applyFont="1" applyAlignment="1">
      <alignment horizontal="center"/>
    </xf>
    <xf numFmtId="0" fontId="0" fillId="0" borderId="0" xfId="0"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[Ecommerce_Sales_Dashboard(AutoRecovered).xlsx]Sheet6!PivotTable5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Sheet6!$A$4:$A$12</c:f>
              <c:strCache>
                <c:ptCount val="8"/>
                <c:pt idx="0">
                  <c:v>Bookshelf</c:v>
                </c:pt>
                <c:pt idx="1">
                  <c:v>Desk</c:v>
                </c:pt>
                <c:pt idx="2">
                  <c:v>Headphones</c:v>
                </c:pt>
                <c:pt idx="3">
                  <c:v>Keyboard</c:v>
                </c:pt>
                <c:pt idx="4">
                  <c:v>Laptop</c:v>
                </c:pt>
                <c:pt idx="5">
                  <c:v>Monitor</c:v>
                </c:pt>
                <c:pt idx="6">
                  <c:v>Office Chair</c:v>
                </c:pt>
                <c:pt idx="7">
                  <c:v>Printer</c:v>
                </c:pt>
              </c:strCache>
            </c:strRef>
          </c:cat>
          <c:val>
            <c:numRef>
              <c:f>Sheet6!$B$4:$B$12</c:f>
              <c:numCache>
                <c:formatCode>General</c:formatCode>
                <c:ptCount val="8"/>
                <c:pt idx="0">
                  <c:v>55402.790000000015</c:v>
                </c:pt>
                <c:pt idx="1">
                  <c:v>100560.68000000001</c:v>
                </c:pt>
                <c:pt idx="2">
                  <c:v>39634.289999999972</c:v>
                </c:pt>
                <c:pt idx="3">
                  <c:v>22978.359999999997</c:v>
                </c:pt>
                <c:pt idx="4">
                  <c:v>291564.67999999993</c:v>
                </c:pt>
                <c:pt idx="5">
                  <c:v>120323.42</c:v>
                </c:pt>
                <c:pt idx="6">
                  <c:v>74764.629999999961</c:v>
                </c:pt>
                <c:pt idx="7">
                  <c:v>70503.359999999986</c:v>
                </c:pt>
              </c:numCache>
            </c:numRef>
          </c:val>
          <c:extLst>
            <c:ext xmlns:c16="http://schemas.microsoft.com/office/drawing/2014/chart" uri="{C3380CC4-5D6E-409C-BE32-E72D297353CC}">
              <c16:uniqueId val="{00000000-A948-4EB3-A780-56539A946A7D}"/>
            </c:ext>
          </c:extLst>
        </c:ser>
        <c:dLbls>
          <c:showLegendKey val="0"/>
          <c:showVal val="0"/>
          <c:showCatName val="0"/>
          <c:showSerName val="0"/>
          <c:showPercent val="0"/>
          <c:showBubbleSize val="0"/>
        </c:dLbls>
        <c:gapWidth val="219"/>
        <c:overlap val="-27"/>
        <c:axId val="1446453824"/>
        <c:axId val="1495152816"/>
      </c:barChart>
      <c:catAx>
        <c:axId val="14464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52816"/>
        <c:crosses val="autoZero"/>
        <c:auto val="1"/>
        <c:lblAlgn val="ctr"/>
        <c:lblOffset val="100"/>
        <c:noMultiLvlLbl val="0"/>
      </c:catAx>
      <c:valAx>
        <c:axId val="149515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[Ecommerce_Sales_Dashboard(AutoRecovered).xlsx]Sheet2!PivotTable1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Sales &amp; Profit</a:t>
            </a:r>
            <a:endParaRPr lang="en-US" b="1"/>
          </a:p>
        </c:rich>
      </c:tx>
      <c:layout>
        <c:manualLayout>
          <c:xMode val="edge"/>
          <c:yMode val="edge"/>
          <c:x val="0.23624505928853756"/>
          <c:y val="0.14944653657423257"/>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marker>
          <c:symbol val="none"/>
        </c:marker>
      </c:pivotFmt>
    </c:pivotFmts>
    <c:plotArea>
      <c:layout>
        <c:manualLayout>
          <c:layoutTarget val="inner"/>
          <c:xMode val="edge"/>
          <c:yMode val="edge"/>
          <c:x val="0.2268072740907387"/>
          <c:y val="0.35780389391624556"/>
          <c:w val="0.42593998330853805"/>
          <c:h val="0.35420084797092671"/>
        </c:manualLayout>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59521.829999999958</c:v>
                </c:pt>
                <c:pt idx="1">
                  <c:v>61383.780000000021</c:v>
                </c:pt>
                <c:pt idx="2">
                  <c:v>65402.350000000006</c:v>
                </c:pt>
                <c:pt idx="3">
                  <c:v>66564.549999999988</c:v>
                </c:pt>
                <c:pt idx="4">
                  <c:v>60694.749999999978</c:v>
                </c:pt>
                <c:pt idx="5">
                  <c:v>60831.640000000014</c:v>
                </c:pt>
                <c:pt idx="6">
                  <c:v>78822.480000000025</c:v>
                </c:pt>
                <c:pt idx="7">
                  <c:v>73346.320000000007</c:v>
                </c:pt>
                <c:pt idx="8">
                  <c:v>74250.369999999952</c:v>
                </c:pt>
                <c:pt idx="9">
                  <c:v>57784.950000000033</c:v>
                </c:pt>
                <c:pt idx="10">
                  <c:v>65281.649999999965</c:v>
                </c:pt>
                <c:pt idx="11">
                  <c:v>51847.540000000008</c:v>
                </c:pt>
              </c:numCache>
            </c:numRef>
          </c:val>
          <c:extLst>
            <c:ext xmlns:c16="http://schemas.microsoft.com/office/drawing/2014/chart" uri="{C3380CC4-5D6E-409C-BE32-E72D297353CC}">
              <c16:uniqueId val="{00000005-9909-4A0A-883D-7602FCC57CC0}"/>
            </c:ext>
          </c:extLst>
        </c:ser>
        <c:ser>
          <c:idx val="1"/>
          <c:order val="1"/>
          <c:tx>
            <c:strRef>
              <c:f>Sheet2!$C$3</c:f>
              <c:strCache>
                <c:ptCount val="1"/>
                <c:pt idx="0">
                  <c:v>Sum of Profit</c:v>
                </c:pt>
              </c:strCache>
            </c:strRef>
          </c:tx>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20121.830000000002</c:v>
                </c:pt>
                <c:pt idx="1">
                  <c:v>19783.78</c:v>
                </c:pt>
                <c:pt idx="2">
                  <c:v>22272.350000000002</c:v>
                </c:pt>
                <c:pt idx="3">
                  <c:v>21874.55</c:v>
                </c:pt>
                <c:pt idx="4">
                  <c:v>19724.75</c:v>
                </c:pt>
                <c:pt idx="5">
                  <c:v>19681.639999999992</c:v>
                </c:pt>
                <c:pt idx="6">
                  <c:v>24322.479999999985</c:v>
                </c:pt>
                <c:pt idx="7">
                  <c:v>24196.319999999996</c:v>
                </c:pt>
                <c:pt idx="8">
                  <c:v>24110.369999999992</c:v>
                </c:pt>
                <c:pt idx="9">
                  <c:v>18774.94999999999</c:v>
                </c:pt>
                <c:pt idx="10">
                  <c:v>21251.650000000005</c:v>
                </c:pt>
                <c:pt idx="11">
                  <c:v>16927.539999999997</c:v>
                </c:pt>
              </c:numCache>
            </c:numRef>
          </c:val>
          <c:extLst>
            <c:ext xmlns:c16="http://schemas.microsoft.com/office/drawing/2014/chart" uri="{C3380CC4-5D6E-409C-BE32-E72D297353CC}">
              <c16:uniqueId val="{00000006-9909-4A0A-883D-7602FCC57CC0}"/>
            </c:ext>
          </c:extLst>
        </c:ser>
        <c:dLbls>
          <c:showLegendKey val="0"/>
          <c:showVal val="0"/>
          <c:showCatName val="0"/>
          <c:showSerName val="0"/>
          <c:showPercent val="0"/>
          <c:showBubbleSize val="0"/>
        </c:dLbls>
        <c:gapWidth val="219"/>
        <c:overlap val="-27"/>
        <c:axId val="1446453408"/>
        <c:axId val="1228532400"/>
      </c:barChart>
      <c:catAx>
        <c:axId val="14464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532400"/>
        <c:crosses val="autoZero"/>
        <c:auto val="1"/>
        <c:lblAlgn val="ctr"/>
        <c:lblOffset val="100"/>
        <c:noMultiLvlLbl val="0"/>
      </c:catAx>
      <c:valAx>
        <c:axId val="1228532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5340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[Ecommerce_Sales_Dashboard(AutoRecovered).xlsx]Sheet5!PivotTable4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Marketplace</c:v>
                </c:pt>
                <c:pt idx="1">
                  <c:v>Online</c:v>
                </c:pt>
                <c:pt idx="2">
                  <c:v>Retail Store</c:v>
                </c:pt>
              </c:strCache>
            </c:strRef>
          </c:cat>
          <c:val>
            <c:numRef>
              <c:f>Sheet5!$B$4:$B$7</c:f>
              <c:numCache>
                <c:formatCode>General</c:formatCode>
                <c:ptCount val="3"/>
                <c:pt idx="0">
                  <c:v>132631.97000000006</c:v>
                </c:pt>
                <c:pt idx="1">
                  <c:v>419047.94000000018</c:v>
                </c:pt>
                <c:pt idx="2">
                  <c:v>224052.30000000028</c:v>
                </c:pt>
              </c:numCache>
            </c:numRef>
          </c:val>
          <c:extLst>
            <c:ext xmlns:c16="http://schemas.microsoft.com/office/drawing/2014/chart" uri="{C3380CC4-5D6E-409C-BE32-E72D297353CC}">
              <c16:uniqueId val="{00000000-BF36-44D1-BB27-10C8C8804C76}"/>
            </c:ext>
          </c:extLst>
        </c:ser>
        <c:dLbls>
          <c:showLegendKey val="0"/>
          <c:showVal val="0"/>
          <c:showCatName val="0"/>
          <c:showSerName val="0"/>
          <c:showPercent val="0"/>
          <c:showBubbleSize val="0"/>
        </c:dLbls>
        <c:gapWidth val="219"/>
        <c:overlap val="-27"/>
        <c:axId val="1439500544"/>
        <c:axId val="1490042176"/>
      </c:barChart>
      <c:catAx>
        <c:axId val="143950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42176"/>
        <c:crosses val="autoZero"/>
        <c:auto val="1"/>
        <c:lblAlgn val="ctr"/>
        <c:lblOffset val="100"/>
        <c:noMultiLvlLbl val="0"/>
      </c:catAx>
      <c:valAx>
        <c:axId val="149004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50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[Ecommerce_Sales_Dashboard(AutoRecovered).xlsx]Sheet4!PivotTable3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Profit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Sheet4!$A$4:$A$12</c:f>
              <c:strCache>
                <c:ptCount val="8"/>
                <c:pt idx="0">
                  <c:v>Australia</c:v>
                </c:pt>
                <c:pt idx="1">
                  <c:v>Canada</c:v>
                </c:pt>
                <c:pt idx="2">
                  <c:v>Germany</c:v>
                </c:pt>
                <c:pt idx="3">
                  <c:v>India</c:v>
                </c:pt>
                <c:pt idx="4">
                  <c:v>Kenya</c:v>
                </c:pt>
                <c:pt idx="5">
                  <c:v>Nigeria</c:v>
                </c:pt>
                <c:pt idx="6">
                  <c:v>UK</c:v>
                </c:pt>
                <c:pt idx="7">
                  <c:v>USA</c:v>
                </c:pt>
              </c:strCache>
            </c:strRef>
          </c:cat>
          <c:val>
            <c:numRef>
              <c:f>Sheet4!$B$4:$B$12</c:f>
              <c:numCache>
                <c:formatCode>General</c:formatCode>
                <c:ptCount val="8"/>
                <c:pt idx="0">
                  <c:v>31364.87999999999</c:v>
                </c:pt>
                <c:pt idx="1">
                  <c:v>33516.149999999994</c:v>
                </c:pt>
                <c:pt idx="2">
                  <c:v>31180.719999999994</c:v>
                </c:pt>
                <c:pt idx="3">
                  <c:v>26281.919999999998</c:v>
                </c:pt>
                <c:pt idx="4">
                  <c:v>27655.229999999996</c:v>
                </c:pt>
                <c:pt idx="5">
                  <c:v>35067.509999999995</c:v>
                </c:pt>
                <c:pt idx="6">
                  <c:v>31286.229999999989</c:v>
                </c:pt>
                <c:pt idx="7">
                  <c:v>36689.57</c:v>
                </c:pt>
              </c:numCache>
            </c:numRef>
          </c:val>
          <c:extLst>
            <c:ext xmlns:c16="http://schemas.microsoft.com/office/drawing/2014/chart" uri="{C3380CC4-5D6E-409C-BE32-E72D297353CC}">
              <c16:uniqueId val="{00000000-1483-4E9D-B80C-620854EEFAEE}"/>
            </c:ext>
          </c:extLst>
        </c:ser>
        <c:dLbls>
          <c:showLegendKey val="0"/>
          <c:showVal val="0"/>
          <c:showCatName val="0"/>
          <c:showSerName val="0"/>
          <c:showPercent val="0"/>
          <c:showBubbleSize val="0"/>
        </c:dLbls>
        <c:gapWidth val="219"/>
        <c:overlap val="-27"/>
        <c:axId val="1446448416"/>
        <c:axId val="1441704528"/>
      </c:barChart>
      <c:catAx>
        <c:axId val="14464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04528"/>
        <c:crosses val="autoZero"/>
        <c:auto val="1"/>
        <c:lblAlgn val="ctr"/>
        <c:lblOffset val="100"/>
        <c:noMultiLvlLbl val="0"/>
      </c:catAx>
      <c:valAx>
        <c:axId val="144170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[Ecommerce_Sales_Dashboard(AutoRecovered).xlsx]Sheet6!PivotTable5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8575266327003243"/>
          <c:y val="0.24329479768786128"/>
          <c:w val="0.6066561900350691"/>
          <c:h val="0.48184880069182101"/>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Sheet6!$A$4:$A$12</c:f>
              <c:strCache>
                <c:ptCount val="8"/>
                <c:pt idx="0">
                  <c:v>Bookshelf</c:v>
                </c:pt>
                <c:pt idx="1">
                  <c:v>Desk</c:v>
                </c:pt>
                <c:pt idx="2">
                  <c:v>Headphones</c:v>
                </c:pt>
                <c:pt idx="3">
                  <c:v>Keyboard</c:v>
                </c:pt>
                <c:pt idx="4">
                  <c:v>Laptop</c:v>
                </c:pt>
                <c:pt idx="5">
                  <c:v>Monitor</c:v>
                </c:pt>
                <c:pt idx="6">
                  <c:v>Office Chair</c:v>
                </c:pt>
                <c:pt idx="7">
                  <c:v>Printer</c:v>
                </c:pt>
              </c:strCache>
            </c:strRef>
          </c:cat>
          <c:val>
            <c:numRef>
              <c:f>Sheet6!$B$4:$B$12</c:f>
              <c:numCache>
                <c:formatCode>General</c:formatCode>
                <c:ptCount val="8"/>
                <c:pt idx="0">
                  <c:v>55402.790000000015</c:v>
                </c:pt>
                <c:pt idx="1">
                  <c:v>100560.68000000001</c:v>
                </c:pt>
                <c:pt idx="2">
                  <c:v>39634.289999999972</c:v>
                </c:pt>
                <c:pt idx="3">
                  <c:v>22978.359999999997</c:v>
                </c:pt>
                <c:pt idx="4">
                  <c:v>291564.67999999993</c:v>
                </c:pt>
                <c:pt idx="5">
                  <c:v>120323.42</c:v>
                </c:pt>
                <c:pt idx="6">
                  <c:v>74764.629999999961</c:v>
                </c:pt>
                <c:pt idx="7">
                  <c:v>70503.359999999986</c:v>
                </c:pt>
              </c:numCache>
            </c:numRef>
          </c:val>
          <c:extLst>
            <c:ext xmlns:c16="http://schemas.microsoft.com/office/drawing/2014/chart" uri="{C3380CC4-5D6E-409C-BE32-E72D297353CC}">
              <c16:uniqueId val="{00000000-B99C-4513-BFBC-1A595A31B1C8}"/>
            </c:ext>
          </c:extLst>
        </c:ser>
        <c:dLbls>
          <c:showLegendKey val="0"/>
          <c:showVal val="0"/>
          <c:showCatName val="0"/>
          <c:showSerName val="0"/>
          <c:showPercent val="0"/>
          <c:showBubbleSize val="0"/>
        </c:dLbls>
        <c:gapWidth val="219"/>
        <c:overlap val="-27"/>
        <c:axId val="1446453824"/>
        <c:axId val="1495152816"/>
      </c:barChart>
      <c:catAx>
        <c:axId val="14464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52816"/>
        <c:crosses val="autoZero"/>
        <c:auto val="1"/>
        <c:lblAlgn val="ctr"/>
        <c:lblOffset val="100"/>
        <c:noMultiLvlLbl val="0"/>
      </c:catAx>
      <c:valAx>
        <c:axId val="149515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320675</xdr:colOff>
      <xdr:row>4</xdr:row>
      <xdr:rowOff>95250</xdr:rowOff>
    </xdr:from>
    <xdr:to>
      <xdr:col>11</xdr:col>
      <xdr:colOff>15875</xdr:colOff>
      <xdr:row>19</xdr:row>
      <xdr:rowOff>76200</xdr:rowOff>
    </xdr:to>
    <xdr:graphicFrame macro="">
      <xdr:nvGraphicFramePr>
        <xdr:cNvPr id="2" name="Chart 1">
          <a:extLst>
            <a:ext uri="{FF2B5EF4-FFF2-40B4-BE49-F238E27FC236}">
              <a16:creationId xmlns:a16="http://schemas.microsoft.com/office/drawing/2014/main" id="{84759A50-8E62-49A9-A8D3-BC1CAF07B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4</xdr:row>
      <xdr:rowOff>6350</xdr:rowOff>
    </xdr:from>
    <xdr:to>
      <xdr:col>5</xdr:col>
      <xdr:colOff>190500</xdr:colOff>
      <xdr:row>12</xdr:row>
      <xdr:rowOff>165100</xdr:rowOff>
    </xdr:to>
    <xdr:graphicFrame macro="">
      <xdr:nvGraphicFramePr>
        <xdr:cNvPr id="2" name="Chart 1">
          <a:extLst>
            <a:ext uri="{FF2B5EF4-FFF2-40B4-BE49-F238E27FC236}">
              <a16:creationId xmlns:a16="http://schemas.microsoft.com/office/drawing/2014/main" id="{C319E6AC-2974-4A5E-A76B-A59907F86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482600</xdr:colOff>
      <xdr:row>14</xdr:row>
      <xdr:rowOff>31750</xdr:rowOff>
    </xdr:from>
    <xdr:to>
      <xdr:col>10</xdr:col>
      <xdr:colOff>215900</xdr:colOff>
      <xdr:row>23</xdr:row>
      <xdr:rowOff>19050</xdr:rowOff>
    </xdr:to>
    <xdr:graphicFrame macro="">
      <xdr:nvGraphicFramePr>
        <xdr:cNvPr id="3" name="Chart 2">
          <a:extLst>
            <a:ext uri="{FF2B5EF4-FFF2-40B4-BE49-F238E27FC236}">
              <a16:creationId xmlns:a16="http://schemas.microsoft.com/office/drawing/2014/main" id="{42D0AE49-7F84-4F51-8FA0-2AA915D53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482600</xdr:colOff>
      <xdr:row>14</xdr:row>
      <xdr:rowOff>12700</xdr:rowOff>
    </xdr:from>
    <xdr:to>
      <xdr:col>5</xdr:col>
      <xdr:colOff>177800</xdr:colOff>
      <xdr:row>22</xdr:row>
      <xdr:rowOff>165100</xdr:rowOff>
    </xdr:to>
    <xdr:graphicFrame macro="">
      <xdr:nvGraphicFramePr>
        <xdr:cNvPr id="4" name="Chart 3">
          <a:extLst>
            <a:ext uri="{FF2B5EF4-FFF2-40B4-BE49-F238E27FC236}">
              <a16:creationId xmlns:a16="http://schemas.microsoft.com/office/drawing/2014/main" id="{E3B60D03-D09D-4276-9BDD-66CFFC327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495300</xdr:colOff>
      <xdr:row>4</xdr:row>
      <xdr:rowOff>6350</xdr:rowOff>
    </xdr:from>
    <xdr:to>
      <xdr:col>10</xdr:col>
      <xdr:colOff>222250</xdr:colOff>
      <xdr:row>13</xdr:row>
      <xdr:rowOff>12700</xdr:rowOff>
    </xdr:to>
    <xdr:graphicFrame macro="">
      <xdr:nvGraphicFramePr>
        <xdr:cNvPr id="5" name="Chart 4">
          <a:extLst>
            <a:ext uri="{FF2B5EF4-FFF2-40B4-BE49-F238E27FC236}">
              <a16:creationId xmlns:a16="http://schemas.microsoft.com/office/drawing/2014/main" id="{86C72238-124F-4338-B076-A44F1971A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552450</xdr:colOff>
      <xdr:row>3</xdr:row>
      <xdr:rowOff>127001</xdr:rowOff>
    </xdr:from>
    <xdr:to>
      <xdr:col>13</xdr:col>
      <xdr:colOff>527050</xdr:colOff>
      <xdr:row>15</xdr:row>
      <xdr:rowOff>38101</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607A9FD9-CCAC-4324-988F-F7D92F81829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835900" y="844551"/>
              <a:ext cx="1803400" cy="212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3</xdr:row>
      <xdr:rowOff>158751</xdr:rowOff>
    </xdr:from>
    <xdr:to>
      <xdr:col>17</xdr:col>
      <xdr:colOff>38100</xdr:colOff>
      <xdr:row>10</xdr:row>
      <xdr:rowOff>152400</xdr:rowOff>
    </xdr:to>
    <mc:AlternateContent xmlns:mc="http://schemas.openxmlformats.org/markup-compatibility/2006" xmlns:a14="http://schemas.microsoft.com/office/drawing/2010/main">
      <mc:Choice Requires="a14">
        <xdr:graphicFrame macro="">
          <xdr:nvGraphicFramePr>
            <xdr:cNvPr id="7" name="Sales Channel">
              <a:extLst>
                <a:ext uri="{FF2B5EF4-FFF2-40B4-BE49-F238E27FC236}">
                  <a16:creationId xmlns:a16="http://schemas.microsoft.com/office/drawing/2014/main" id="{33AEF83E-19C9-48C7-805F-9387F466A566}"/>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759950" y="876301"/>
              <a:ext cx="1828800" cy="1282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577850</xdr:colOff>
      <xdr:row>16</xdr:row>
      <xdr:rowOff>38101</xdr:rowOff>
    </xdr:from>
    <xdr:to>
      <xdr:col>13</xdr:col>
      <xdr:colOff>577850</xdr:colOff>
      <xdr:row>21</xdr:row>
      <xdr:rowOff>139701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C62E70E-3366-4407-963F-1FE39BA2A2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61300" y="3149601"/>
              <a:ext cx="1828800" cy="1022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2.855694444443" createdVersion="6" refreshedVersion="6" minRefreshableVersion="3" recordCount="1000" xr:uid="{00000000-000A-0000-FFFF-FFFF0D000000}">
  <cacheSource type="worksheet">
    <worksheetSource name="Table1"/>
  </cacheSource>
  <cacheFields count="15">
    <cacheField name="Order ID" numFmtId="0">
      <sharedItems count="1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haredItems>
    </cacheField>
    <cacheField name="Order Date" numFmtId="14">
      <sharedItems containsSemiMixedTypes="0" containsNonDate="0" containsDate="1" containsString="0" minDate="2025-01-01T00:00:00" maxDate="2025-12-31T00:00:00" count="347">
        <d v="2025-04-13T00:00:00"/>
        <d v="2025-04-10T00:00:00"/>
        <d v="2025-11-10T00:00:00"/>
        <d v="2025-06-24T00:00:00"/>
        <d v="2025-10-01T00:00:00"/>
        <d v="2025-09-21T00:00:00"/>
        <d v="2025-11-06T00:00:00"/>
        <d v="2025-08-03T00:00:00"/>
        <d v="2025-07-07T00:00:00"/>
        <d v="2025-03-04T00:00:00"/>
        <d v="2025-05-15T00:00:00"/>
        <d v="2025-02-04T00:00:00"/>
        <d v="2025-12-12T00:00:00"/>
        <d v="2025-08-19T00:00:00"/>
        <d v="2025-03-03T00:00:00"/>
        <d v="2025-07-09T00:00:00"/>
        <d v="2025-05-17T00:00:00"/>
        <d v="2025-02-21T00:00:00"/>
        <d v="2025-02-23T00:00:00"/>
        <d v="2025-11-20T00:00:00"/>
        <d v="2025-08-28T00:00:00"/>
        <d v="2025-05-09T00:00:00"/>
        <d v="2025-04-22T00:00:00"/>
        <d v="2025-01-09T00:00:00"/>
        <d v="2025-04-14T00:00:00"/>
        <d v="2025-07-27T00:00:00"/>
        <d v="2025-07-14T00:00:00"/>
        <d v="2025-01-04T00:00:00"/>
        <d v="2025-02-06T00:00:00"/>
        <d v="2025-06-10T00:00:00"/>
        <d v="2025-12-08T00:00:00"/>
        <d v="2025-02-08T00:00:00"/>
        <d v="2025-06-22T00:00:00"/>
        <d v="2025-10-15T00:00:00"/>
        <d v="2025-04-11T00:00:00"/>
        <d v="2025-02-16T00:00:00"/>
        <d v="2025-10-02T00:00:00"/>
        <d v="2025-01-01T00:00:00"/>
        <d v="2025-07-11T00:00:00"/>
        <d v="2025-08-08T00:00:00"/>
        <d v="2025-09-07T00:00:00"/>
        <d v="2025-06-09T00:00:00"/>
        <d v="2025-11-19T00:00:00"/>
        <d v="2025-08-30T00:00:00"/>
        <d v="2025-04-24T00:00:00"/>
        <d v="2025-08-15T00:00:00"/>
        <d v="2025-08-05T00:00:00"/>
        <d v="2025-08-21T00:00:00"/>
        <d v="2025-03-10T00:00:00"/>
        <d v="2025-07-05T00:00:00"/>
        <d v="2025-03-15T00:00:00"/>
        <d v="2025-07-13T00:00:00"/>
        <d v="2025-01-19T00:00:00"/>
        <d v="2025-01-20T00:00:00"/>
        <d v="2025-01-12T00:00:00"/>
        <d v="2025-11-08T00:00:00"/>
        <d v="2025-12-07T00:00:00"/>
        <d v="2025-11-07T00:00:00"/>
        <d v="2025-05-25T00:00:00"/>
        <d v="2025-02-03T00:00:00"/>
        <d v="2025-08-24T00:00:00"/>
        <d v="2025-03-07T00:00:00"/>
        <d v="2025-11-04T00:00:00"/>
        <d v="2025-05-18T00:00:00"/>
        <d v="2025-08-23T00:00:00"/>
        <d v="2025-12-26T00:00:00"/>
        <d v="2025-01-05T00:00:00"/>
        <d v="2025-03-19T00:00:00"/>
        <d v="2025-03-02T00:00:00"/>
        <d v="2025-01-14T00:00:00"/>
        <d v="2025-04-21T00:00:00"/>
        <d v="2025-04-29T00:00:00"/>
        <d v="2025-03-09T00:00:00"/>
        <d v="2025-03-24T00:00:00"/>
        <d v="2025-05-30T00:00:00"/>
        <d v="2025-08-17T00:00:00"/>
        <d v="2025-12-22T00:00:00"/>
        <d v="2025-06-17T00:00:00"/>
        <d v="2025-04-04T00:00:00"/>
        <d v="2025-08-01T00:00:00"/>
        <d v="2025-10-22T00:00:00"/>
        <d v="2025-11-05T00:00:00"/>
        <d v="2025-01-15T00:00:00"/>
        <d v="2025-10-16T00:00:00"/>
        <d v="2025-08-16T00:00:00"/>
        <d v="2025-04-05T00:00:00"/>
        <d v="2025-05-14T00:00:00"/>
        <d v="2025-04-02T00:00:00"/>
        <d v="2025-07-29T00:00:00"/>
        <d v="2025-07-17T00:00:00"/>
        <d v="2025-12-27T00:00:00"/>
        <d v="2025-05-12T00:00:00"/>
        <d v="2025-03-28T00:00:00"/>
        <d v="2025-11-24T00:00:00"/>
        <d v="2025-11-26T00:00:00"/>
        <d v="2025-10-30T00:00:00"/>
        <d v="2025-08-10T00:00:00"/>
        <d v="2025-02-28T00:00:00"/>
        <d v="2025-12-25T00:00:00"/>
        <d v="2025-05-26T00:00:00"/>
        <d v="2025-04-27T00:00:00"/>
        <d v="2025-06-30T00:00:00"/>
        <d v="2025-10-23T00:00:00"/>
        <d v="2025-06-21T00:00:00"/>
        <d v="2025-07-19T00:00:00"/>
        <d v="2025-07-18T00:00:00"/>
        <d v="2025-09-30T00:00:00"/>
        <d v="2025-12-30T00:00:00"/>
        <d v="2025-04-18T00:00:00"/>
        <d v="2025-09-23T00:00:00"/>
        <d v="2025-05-20T00:00:00"/>
        <d v="2025-06-26T00:00:00"/>
        <d v="2025-01-03T00:00:00"/>
        <d v="2025-04-15T00:00:00"/>
        <d v="2025-01-25T00:00:00"/>
        <d v="2025-01-07T00:00:00"/>
        <d v="2025-04-23T00:00:00"/>
        <d v="2025-11-02T00:00:00"/>
        <d v="2025-02-02T00:00:00"/>
        <d v="2025-04-09T00:00:00"/>
        <d v="2025-01-27T00:00:00"/>
        <d v="2025-09-14T00:00:00"/>
        <d v="2025-07-25T00:00:00"/>
        <d v="2025-02-10T00:00:00"/>
        <d v="2025-12-19T00:00:00"/>
        <d v="2025-05-03T00:00:00"/>
        <d v="2025-11-14T00:00:00"/>
        <d v="2025-08-31T00:00:00"/>
        <d v="2025-07-26T00:00:00"/>
        <d v="2025-09-19T00:00:00"/>
        <d v="2025-08-13T00:00:00"/>
        <d v="2025-11-21T00:00:00"/>
        <d v="2025-06-13T00:00:00"/>
        <d v="2025-07-23T00:00:00"/>
        <d v="2025-11-30T00:00:00"/>
        <d v="2025-07-04T00:00:00"/>
        <d v="2025-01-26T00:00:00"/>
        <d v="2025-05-22T00:00:00"/>
        <d v="2025-03-30T00:00:00"/>
        <d v="2025-04-12T00:00:00"/>
        <d v="2025-08-12T00:00:00"/>
        <d v="2025-10-27T00:00:00"/>
        <d v="2025-04-17T00:00:00"/>
        <d v="2025-06-07T00:00:00"/>
        <d v="2025-06-08T00:00:00"/>
        <d v="2025-05-01T00:00:00"/>
        <d v="2025-03-01T00:00:00"/>
        <d v="2025-08-14T00:00:00"/>
        <d v="2025-05-05T00:00:00"/>
        <d v="2025-06-16T00:00:00"/>
        <d v="2025-07-15T00:00:00"/>
        <d v="2025-10-13T00:00:00"/>
        <d v="2025-12-14T00:00:00"/>
        <d v="2025-06-15T00:00:00"/>
        <d v="2025-03-14T00:00:00"/>
        <d v="2025-10-08T00:00:00"/>
        <d v="2025-05-08T00:00:00"/>
        <d v="2025-05-31T00:00:00"/>
        <d v="2025-02-25T00:00:00"/>
        <d v="2025-04-07T00:00:00"/>
        <d v="2025-03-06T00:00:00"/>
        <d v="2025-08-20T00:00:00"/>
        <d v="2025-04-30T00:00:00"/>
        <d v="2025-10-04T00:00:00"/>
        <d v="2025-04-19T00:00:00"/>
        <d v="2025-07-30T00:00:00"/>
        <d v="2025-09-15T00:00:00"/>
        <d v="2025-07-02T00:00:00"/>
        <d v="2025-05-29T00:00:00"/>
        <d v="2025-03-27T00:00:00"/>
        <d v="2025-02-19T00:00:00"/>
        <d v="2025-07-10T00:00:00"/>
        <d v="2025-03-13T00:00:00"/>
        <d v="2025-10-29T00:00:00"/>
        <d v="2025-03-11T00:00:00"/>
        <d v="2025-10-20T00:00:00"/>
        <d v="2025-09-11T00:00:00"/>
        <d v="2025-06-01T00:00:00"/>
        <d v="2025-04-28T00:00:00"/>
        <d v="2025-12-15T00:00:00"/>
        <d v="2025-03-25T00:00:00"/>
        <d v="2025-12-02T00:00:00"/>
        <d v="2025-12-04T00:00:00"/>
        <d v="2025-09-05T00:00:00"/>
        <d v="2025-01-28T00:00:00"/>
        <d v="2025-12-10T00:00:00"/>
        <d v="2025-09-27T00:00:00"/>
        <d v="2025-02-13T00:00:00"/>
        <d v="2025-09-25T00:00:00"/>
        <d v="2025-08-26T00:00:00"/>
        <d v="2025-12-29T00:00:00"/>
        <d v="2025-09-03T00:00:00"/>
        <d v="2025-06-03T00:00:00"/>
        <d v="2025-06-12T00:00:00"/>
        <d v="2025-12-16T00:00:00"/>
        <d v="2025-07-20T00:00:00"/>
        <d v="2025-05-23T00:00:00"/>
        <d v="2025-12-21T00:00:00"/>
        <d v="2025-11-23T00:00:00"/>
        <d v="2025-11-13T00:00:00"/>
        <d v="2025-05-07T00:00:00"/>
        <d v="2025-09-12T00:00:00"/>
        <d v="2025-08-04T00:00:00"/>
        <d v="2025-09-17T00:00:00"/>
        <d v="2025-12-28T00:00:00"/>
        <d v="2025-07-08T00:00:00"/>
        <d v="2025-11-03T00:00:00"/>
        <d v="2025-02-14T00:00:00"/>
        <d v="2025-03-31T00:00:00"/>
        <d v="2025-04-03T00:00:00"/>
        <d v="2025-12-23T00:00:00"/>
        <d v="2025-06-05T00:00:00"/>
        <d v="2025-05-06T00:00:00"/>
        <d v="2025-01-31T00:00:00"/>
        <d v="2025-06-11T00:00:00"/>
        <d v="2025-01-21T00:00:00"/>
        <d v="2025-01-17T00:00:00"/>
        <d v="2025-03-16T00:00:00"/>
        <d v="2025-08-07T00:00:00"/>
        <d v="2025-04-26T00:00:00"/>
        <d v="2025-05-16T00:00:00"/>
        <d v="2025-01-13T00:00:00"/>
        <d v="2025-08-09T00:00:00"/>
        <d v="2025-11-25T00:00:00"/>
        <d v="2025-09-20T00:00:00"/>
        <d v="2025-09-09T00:00:00"/>
        <d v="2025-06-14T00:00:00"/>
        <d v="2025-08-06T00:00:00"/>
        <d v="2025-10-05T00:00:00"/>
        <d v="2025-09-04T00:00:00"/>
        <d v="2025-03-29T00:00:00"/>
        <d v="2025-09-28T00:00:00"/>
        <d v="2025-06-18T00:00:00"/>
        <d v="2025-07-21T00:00:00"/>
        <d v="2025-09-08T00:00:00"/>
        <d v="2025-12-05T00:00:00"/>
        <d v="2025-02-12T00:00:00"/>
        <d v="2025-10-10T00:00:00"/>
        <d v="2025-07-01T00:00:00"/>
        <d v="2025-03-23T00:00:00"/>
        <d v="2025-01-02T00:00:00"/>
        <d v="2025-10-28T00:00:00"/>
        <d v="2025-07-31T00:00:00"/>
        <d v="2025-04-01T00:00:00"/>
        <d v="2025-10-11T00:00:00"/>
        <d v="2025-08-18T00:00:00"/>
        <d v="2025-06-02T00:00:00"/>
        <d v="2025-10-12T00:00:00"/>
        <d v="2025-03-26T00:00:00"/>
        <d v="2025-05-02T00:00:00"/>
        <d v="2025-08-27T00:00:00"/>
        <d v="2025-01-29T00:00:00"/>
        <d v="2025-12-01T00:00:00"/>
        <d v="2025-11-28T00:00:00"/>
        <d v="2025-06-25T00:00:00"/>
        <d v="2025-10-31T00:00:00"/>
        <d v="2025-05-13T00:00:00"/>
        <d v="2025-11-18T00:00:00"/>
        <d v="2025-01-08T00:00:00"/>
        <d v="2025-10-17T00:00:00"/>
        <d v="2025-11-09T00:00:00"/>
        <d v="2025-04-16T00:00:00"/>
        <d v="2025-02-27T00:00:00"/>
        <d v="2025-08-02T00:00:00"/>
        <d v="2025-10-09T00:00:00"/>
        <d v="2025-10-21T00:00:00"/>
        <d v="2025-09-24T00:00:00"/>
        <d v="2025-11-01T00:00:00"/>
        <d v="2025-12-03T00:00:00"/>
        <d v="2025-10-07T00:00:00"/>
        <d v="2025-06-20T00:00:00"/>
        <d v="2025-10-18T00:00:00"/>
        <d v="2025-09-13T00:00:00"/>
        <d v="2025-11-27T00:00:00"/>
        <d v="2025-09-10T00:00:00"/>
        <d v="2025-05-28T00:00:00"/>
        <d v="2025-01-22T00:00:00"/>
        <d v="2025-04-20T00:00:00"/>
        <d v="2025-10-26T00:00:00"/>
        <d v="2025-12-24T00:00:00"/>
        <d v="2025-06-29T00:00:00"/>
        <d v="2025-06-28T00:00:00"/>
        <d v="2025-11-15T00:00:00"/>
        <d v="2025-09-06T00:00:00"/>
        <d v="2025-07-06T00:00:00"/>
        <d v="2025-02-15T00:00:00"/>
        <d v="2025-12-09T00:00:00"/>
        <d v="2025-12-13T00:00:00"/>
        <d v="2025-02-07T00:00:00"/>
        <d v="2025-08-29T00:00:00"/>
        <d v="2025-12-11T00:00:00"/>
        <d v="2025-02-17T00:00:00"/>
        <d v="2025-10-06T00:00:00"/>
        <d v="2025-10-03T00:00:00"/>
        <d v="2025-01-30T00:00:00"/>
        <d v="2025-02-11T00:00:00"/>
        <d v="2025-10-25T00:00:00"/>
        <d v="2025-03-20T00:00:00"/>
        <d v="2025-07-28T00:00:00"/>
        <d v="2025-11-12T00:00:00"/>
        <d v="2025-02-26T00:00:00"/>
        <d v="2025-06-06T00:00:00"/>
        <d v="2025-05-11T00:00:00"/>
        <d v="2025-02-24T00:00:00"/>
        <d v="2025-09-26T00:00:00"/>
        <d v="2025-12-20T00:00:00"/>
        <d v="2025-01-10T00:00:00"/>
        <d v="2025-09-01T00:00:00"/>
        <d v="2025-01-18T00:00:00"/>
        <d v="2025-08-25T00:00:00"/>
        <d v="2025-09-18T00:00:00"/>
        <d v="2025-04-08T00:00:00"/>
        <d v="2025-02-18T00:00:00"/>
        <d v="2025-03-21T00:00:00"/>
        <d v="2025-07-16T00:00:00"/>
        <d v="2025-09-16T00:00:00"/>
        <d v="2025-12-06T00:00:00"/>
        <d v="2025-03-05T00:00:00"/>
        <d v="2025-06-04T00:00:00"/>
        <d v="2025-11-16T00:00:00"/>
        <d v="2025-10-19T00:00:00"/>
        <d v="2025-01-11T00:00:00"/>
        <d v="2025-06-19T00:00:00"/>
        <d v="2025-12-18T00:00:00"/>
        <d v="2025-11-22T00:00:00"/>
        <d v="2025-06-23T00:00:00"/>
        <d v="2025-06-27T00:00:00"/>
        <d v="2025-11-11T00:00:00"/>
        <d v="2025-02-09T00:00:00"/>
        <d v="2025-11-29T00:00:00"/>
        <d v="2025-05-04T00:00:00"/>
        <d v="2025-05-24T00:00:00"/>
        <d v="2025-10-14T00:00:00"/>
        <d v="2025-05-19T00:00:00"/>
        <d v="2025-07-24T00:00:00"/>
        <d v="2025-02-22T00:00:00"/>
        <d v="2025-09-02T00:00:00"/>
        <d v="2025-05-21T00:00:00"/>
        <d v="2025-08-22T00:00:00"/>
        <d v="2025-03-08T00:00:00"/>
        <d v="2025-02-20T00:00:00"/>
        <d v="2025-03-18T00:00:00"/>
        <d v="2025-04-06T00:00:00"/>
        <d v="2025-03-22T00:00:00"/>
        <d v="2025-04-25T00:00:00"/>
        <d v="2025-08-11T00:00:00"/>
        <d v="2025-07-03T00:00:00"/>
      </sharedItems>
      <fieldGroup base="1">
        <rangePr groupBy="months" startDate="2025-01-01T00:00:00" endDate="2025-12-31T00:00:00"/>
        <groupItems count="14">
          <s v="&lt;01/01/2025"/>
          <s v="Jan"/>
          <s v="Feb"/>
          <s v="Mar"/>
          <s v="Apr"/>
          <s v="May"/>
          <s v="Jun"/>
          <s v="Jul"/>
          <s v="Aug"/>
          <s v="Sep"/>
          <s v="Oct"/>
          <s v="Nov"/>
          <s v="Dec"/>
          <s v="&gt;31/12/2025"/>
        </groupItems>
      </fieldGroup>
    </cacheField>
    <cacheField name="Customer" numFmtId="0">
      <sharedItems/>
    </cacheField>
    <cacheField name="Country" numFmtId="0">
      <sharedItems count="8">
        <s v="Germany"/>
        <s v="India"/>
        <s v="Kenya"/>
        <s v="Australia"/>
        <s v="Nigeria"/>
        <s v="UK"/>
        <s v="USA"/>
        <s v="Canada"/>
      </sharedItems>
    </cacheField>
    <cacheField name="Region" numFmtId="0">
      <sharedItems/>
    </cacheField>
    <cacheField name="Product" numFmtId="0">
      <sharedItems count="8">
        <s v="Office Chair"/>
        <s v="Bookshelf"/>
        <s v="Headphones"/>
        <s v="Laptop"/>
        <s v="Printer"/>
        <s v="Keyboard"/>
        <s v="Desk"/>
        <s v="Monitor"/>
      </sharedItems>
    </cacheField>
    <cacheField name="Category" numFmtId="0">
      <sharedItems count="2">
        <s v="Furniture"/>
        <s v="Electronics"/>
      </sharedItems>
    </cacheField>
    <cacheField name="Quantity" numFmtId="0">
      <sharedItems containsSemiMixedTypes="0" containsString="0" containsNumber="1" containsInteger="1" minValue="1" maxValue="6"/>
    </cacheField>
    <cacheField name="Unit Price" numFmtId="0">
      <sharedItems containsSemiMixedTypes="0" containsString="0" containsNumber="1" minValue="71.33" maxValue="915.28"/>
    </cacheField>
    <cacheField name="Discount" numFmtId="0">
      <sharedItems containsSemiMixedTypes="0" containsString="0" containsNumber="1" minValue="0" maxValue="0.2"/>
    </cacheField>
    <cacheField name="Sales" numFmtId="0">
      <sharedItems containsSemiMixedTypes="0" containsString="0" containsNumber="1" minValue="61" maxValue="5329.86"/>
    </cacheField>
    <cacheField name="Cost" numFmtId="0">
      <sharedItems containsSemiMixedTypes="0" containsString="0" containsNumber="1" containsInteger="1" minValue="40" maxValue="3600"/>
    </cacheField>
    <cacheField name="Profit" numFmtId="0">
      <sharedItems containsSemiMixedTypes="0" containsString="0" containsNumber="1" minValue="21" maxValue="1729.86"/>
    </cacheField>
    <cacheField name="Payment Method" numFmtId="0">
      <sharedItems/>
    </cacheField>
    <cacheField name="Sales Channel" numFmtId="0">
      <sharedItems count="3">
        <s v="Marketplace"/>
        <s v="Online"/>
        <s v="Retail Stor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Sophia Anderson"/>
    <x v="0"/>
    <s v="Europe"/>
    <x v="0"/>
    <x v="0"/>
    <n v="1"/>
    <n v="282.58999999999997"/>
    <n v="0.1"/>
    <n v="254.33"/>
    <n v="170"/>
    <n v="84.33"/>
    <s v="Credit Card"/>
    <x v="0"/>
  </r>
  <r>
    <x v="1"/>
    <x v="1"/>
    <s v="Jamie Johnson"/>
    <x v="1"/>
    <s v="Asia"/>
    <x v="1"/>
    <x v="0"/>
    <n v="3"/>
    <n v="198.33"/>
    <n v="0"/>
    <n v="594.99"/>
    <n v="330"/>
    <n v="264.99"/>
    <s v="Credit Card"/>
    <x v="1"/>
  </r>
  <r>
    <x v="2"/>
    <x v="2"/>
    <s v="Drew Lewis"/>
    <x v="2"/>
    <s v="Africa"/>
    <x v="0"/>
    <x v="0"/>
    <n v="2"/>
    <n v="283.12"/>
    <n v="0"/>
    <n v="566.24"/>
    <n v="340"/>
    <n v="226.24"/>
    <s v="PayPal"/>
    <x v="1"/>
  </r>
  <r>
    <x v="3"/>
    <x v="3"/>
    <s v="Casey Brown"/>
    <x v="2"/>
    <s v="Africa"/>
    <x v="2"/>
    <x v="1"/>
    <n v="2"/>
    <n v="121.28"/>
    <n v="0.2"/>
    <n v="194.05"/>
    <n v="120"/>
    <n v="74.05"/>
    <s v="Bank Transfer"/>
    <x v="1"/>
  </r>
  <r>
    <x v="4"/>
    <x v="4"/>
    <s v="Jordan Davis"/>
    <x v="0"/>
    <s v="Europe"/>
    <x v="3"/>
    <x v="1"/>
    <n v="6"/>
    <n v="841.16"/>
    <n v="0.1"/>
    <n v="4542.26"/>
    <n v="3600"/>
    <n v="942.26"/>
    <s v="Credit Card"/>
    <x v="2"/>
  </r>
  <r>
    <x v="5"/>
    <x v="5"/>
    <s v="Jordan Hall"/>
    <x v="3"/>
    <s v="Oceania"/>
    <x v="2"/>
    <x v="1"/>
    <n v="5"/>
    <n v="124.34"/>
    <n v="0"/>
    <n v="621.70000000000005"/>
    <n v="300"/>
    <n v="321.7"/>
    <s v="Debit Card"/>
    <x v="1"/>
  </r>
  <r>
    <x v="6"/>
    <x v="6"/>
    <s v="Morgan Hall"/>
    <x v="4"/>
    <s v="Africa"/>
    <x v="4"/>
    <x v="1"/>
    <n v="4"/>
    <n v="240.33"/>
    <n v="0"/>
    <n v="961.32"/>
    <n v="600"/>
    <n v="361.32"/>
    <s v="Bank Transfer"/>
    <x v="1"/>
  </r>
  <r>
    <x v="7"/>
    <x v="7"/>
    <s v="Emma Wilson"/>
    <x v="0"/>
    <s v="Europe"/>
    <x v="3"/>
    <x v="1"/>
    <n v="6"/>
    <n v="890.08"/>
    <n v="0.1"/>
    <n v="4806.43"/>
    <n v="3600"/>
    <n v="1206.43"/>
    <s v="Debit Card"/>
    <x v="0"/>
  </r>
  <r>
    <x v="8"/>
    <x v="8"/>
    <s v="Avery Moore"/>
    <x v="0"/>
    <s v="Europe"/>
    <x v="0"/>
    <x v="0"/>
    <n v="1"/>
    <n v="263.92"/>
    <n v="0.1"/>
    <n v="237.53"/>
    <n v="170"/>
    <n v="67.53"/>
    <s v="Bank Transfer"/>
    <x v="1"/>
  </r>
  <r>
    <x v="9"/>
    <x v="9"/>
    <s v="Casey Martin"/>
    <x v="5"/>
    <s v="Europe"/>
    <x v="2"/>
    <x v="1"/>
    <n v="3"/>
    <n v="126.03"/>
    <n v="0.1"/>
    <n v="340.28"/>
    <n v="180"/>
    <n v="160.28"/>
    <s v="Credit Card"/>
    <x v="1"/>
  </r>
  <r>
    <x v="10"/>
    <x v="10"/>
    <s v="Casey Brown"/>
    <x v="6"/>
    <s v="North America"/>
    <x v="1"/>
    <x v="0"/>
    <n v="2"/>
    <n v="189.66"/>
    <n v="0"/>
    <n v="379.32"/>
    <n v="220"/>
    <n v="159.32"/>
    <s v="Debit Card"/>
    <x v="1"/>
  </r>
  <r>
    <x v="11"/>
    <x v="11"/>
    <s v="Noah Anderson"/>
    <x v="6"/>
    <s v="North America"/>
    <x v="2"/>
    <x v="1"/>
    <n v="1"/>
    <n v="125.87"/>
    <n v="0.1"/>
    <n v="113.28"/>
    <n v="60"/>
    <n v="53.28"/>
    <s v="Credit Card"/>
    <x v="2"/>
  </r>
  <r>
    <x v="12"/>
    <x v="12"/>
    <s v="Daniel Walker"/>
    <x v="7"/>
    <s v="North America"/>
    <x v="5"/>
    <x v="1"/>
    <n v="1"/>
    <n v="77.459999999999994"/>
    <n v="0"/>
    <n v="77.459999999999994"/>
    <n v="40"/>
    <n v="37.46"/>
    <s v="Debit Card"/>
    <x v="0"/>
  </r>
  <r>
    <x v="13"/>
    <x v="13"/>
    <s v="Sophia Taylor"/>
    <x v="4"/>
    <s v="Africa"/>
    <x v="4"/>
    <x v="1"/>
    <n v="4"/>
    <n v="230.4"/>
    <n v="0"/>
    <n v="921.6"/>
    <n v="600"/>
    <n v="321.60000000000002"/>
    <s v="PayPal"/>
    <x v="2"/>
  </r>
  <r>
    <x v="14"/>
    <x v="14"/>
    <s v="Sam Martin"/>
    <x v="6"/>
    <s v="North America"/>
    <x v="0"/>
    <x v="0"/>
    <n v="4"/>
    <n v="267.92"/>
    <n v="0.1"/>
    <n v="964.51"/>
    <n v="680"/>
    <n v="284.51"/>
    <s v="Credit Card"/>
    <x v="1"/>
  </r>
  <r>
    <x v="15"/>
    <x v="15"/>
    <s v="Cameron Brown"/>
    <x v="6"/>
    <s v="North America"/>
    <x v="3"/>
    <x v="1"/>
    <n v="1"/>
    <n v="897.89"/>
    <n v="0"/>
    <n v="897.89"/>
    <n v="600"/>
    <n v="297.89"/>
    <s v="Credit Card"/>
    <x v="1"/>
  </r>
  <r>
    <x v="16"/>
    <x v="16"/>
    <s v="Cameron Davis"/>
    <x v="2"/>
    <s v="Africa"/>
    <x v="0"/>
    <x v="0"/>
    <n v="3"/>
    <n v="269.98"/>
    <n v="0"/>
    <n v="809.94"/>
    <n v="510"/>
    <n v="299.94"/>
    <s v="Credit Card"/>
    <x v="0"/>
  </r>
  <r>
    <x v="17"/>
    <x v="17"/>
    <s v="Olivia Clark"/>
    <x v="0"/>
    <s v="Europe"/>
    <x v="6"/>
    <x v="0"/>
    <n v="3"/>
    <n v="315.01"/>
    <n v="0.1"/>
    <n v="850.53"/>
    <n v="600"/>
    <n v="250.53"/>
    <s v="Debit Card"/>
    <x v="1"/>
  </r>
  <r>
    <x v="18"/>
    <x v="18"/>
    <s v="Chris Martin"/>
    <x v="3"/>
    <s v="Oceania"/>
    <x v="0"/>
    <x v="0"/>
    <n v="2"/>
    <n v="285.58999999999997"/>
    <n v="0.05"/>
    <n v="542.62"/>
    <n v="340"/>
    <n v="202.62"/>
    <s v="PayPal"/>
    <x v="1"/>
  </r>
  <r>
    <x v="19"/>
    <x v="19"/>
    <s v="Casey Davis"/>
    <x v="3"/>
    <s v="Oceania"/>
    <x v="2"/>
    <x v="1"/>
    <n v="2"/>
    <n v="126.53"/>
    <n v="0"/>
    <n v="253.06"/>
    <n v="120"/>
    <n v="133.06"/>
    <s v="PayPal"/>
    <x v="1"/>
  </r>
  <r>
    <x v="20"/>
    <x v="20"/>
    <s v="Taylor Davis"/>
    <x v="1"/>
    <s v="Asia"/>
    <x v="3"/>
    <x v="1"/>
    <n v="1"/>
    <n v="884.39"/>
    <n v="0.05"/>
    <n v="840.17"/>
    <n v="600"/>
    <n v="240.17"/>
    <s v="Credit Card"/>
    <x v="1"/>
  </r>
  <r>
    <x v="21"/>
    <x v="12"/>
    <s v="Alex Thomas"/>
    <x v="5"/>
    <s v="Europe"/>
    <x v="4"/>
    <x v="1"/>
    <n v="1"/>
    <n v="233.44"/>
    <n v="0.05"/>
    <n v="221.77"/>
    <n v="150"/>
    <n v="71.77"/>
    <s v="Debit Card"/>
    <x v="0"/>
  </r>
  <r>
    <x v="22"/>
    <x v="21"/>
    <s v="Drew Brown"/>
    <x v="5"/>
    <s v="Europe"/>
    <x v="5"/>
    <x v="1"/>
    <n v="3"/>
    <n v="76.53"/>
    <n v="0"/>
    <n v="229.59"/>
    <n v="120"/>
    <n v="109.59"/>
    <s v="Credit Card"/>
    <x v="1"/>
  </r>
  <r>
    <x v="23"/>
    <x v="22"/>
    <s v="Chris Wilson"/>
    <x v="6"/>
    <s v="North America"/>
    <x v="5"/>
    <x v="1"/>
    <n v="2"/>
    <n v="72.16"/>
    <n v="0"/>
    <n v="144.32"/>
    <n v="80"/>
    <n v="64.319999999999993"/>
    <s v="PayPal"/>
    <x v="2"/>
  </r>
  <r>
    <x v="24"/>
    <x v="23"/>
    <s v="Alex Thomas"/>
    <x v="6"/>
    <s v="North America"/>
    <x v="2"/>
    <x v="1"/>
    <n v="3"/>
    <n v="127.36"/>
    <n v="0.1"/>
    <n v="343.87"/>
    <n v="180"/>
    <n v="163.87"/>
    <s v="PayPal"/>
    <x v="0"/>
  </r>
  <r>
    <x v="25"/>
    <x v="24"/>
    <s v="Ethan Hall"/>
    <x v="0"/>
    <s v="Europe"/>
    <x v="6"/>
    <x v="0"/>
    <n v="1"/>
    <n v="336.78"/>
    <n v="0"/>
    <n v="336.78"/>
    <n v="200"/>
    <n v="136.78"/>
    <s v="Debit Card"/>
    <x v="2"/>
  </r>
  <r>
    <x v="26"/>
    <x v="25"/>
    <s v="Liam Davis"/>
    <x v="4"/>
    <s v="Africa"/>
    <x v="3"/>
    <x v="1"/>
    <n v="1"/>
    <n v="862.08"/>
    <n v="0"/>
    <n v="862.08"/>
    <n v="600"/>
    <n v="262.08"/>
    <s v="Credit Card"/>
    <x v="2"/>
  </r>
  <r>
    <x v="27"/>
    <x v="26"/>
    <s v="Noah Hall"/>
    <x v="6"/>
    <s v="North America"/>
    <x v="1"/>
    <x v="0"/>
    <n v="3"/>
    <n v="189.58"/>
    <n v="0"/>
    <n v="568.74"/>
    <n v="330"/>
    <n v="238.74"/>
    <s v="PayPal"/>
    <x v="1"/>
  </r>
  <r>
    <x v="28"/>
    <x v="5"/>
    <s v="Alex Wilson"/>
    <x v="5"/>
    <s v="Europe"/>
    <x v="2"/>
    <x v="1"/>
    <n v="4"/>
    <n v="123"/>
    <n v="0.05"/>
    <n v="467.4"/>
    <n v="240"/>
    <n v="227.4"/>
    <s v="Credit Card"/>
    <x v="1"/>
  </r>
  <r>
    <x v="29"/>
    <x v="27"/>
    <s v="Noah Wilson"/>
    <x v="5"/>
    <s v="Europe"/>
    <x v="1"/>
    <x v="0"/>
    <n v="3"/>
    <n v="203.73"/>
    <n v="0"/>
    <n v="611.19000000000005"/>
    <n v="330"/>
    <n v="281.19"/>
    <s v="PayPal"/>
    <x v="2"/>
  </r>
  <r>
    <x v="30"/>
    <x v="28"/>
    <s v="Alex Davis"/>
    <x v="1"/>
    <s v="Asia"/>
    <x v="0"/>
    <x v="0"/>
    <n v="2"/>
    <n v="295.7"/>
    <n v="0.15"/>
    <n v="502.69"/>
    <n v="340"/>
    <n v="162.69"/>
    <s v="Credit Card"/>
    <x v="1"/>
  </r>
  <r>
    <x v="31"/>
    <x v="29"/>
    <s v="Taylor Thomas"/>
    <x v="1"/>
    <s v="Asia"/>
    <x v="2"/>
    <x v="1"/>
    <n v="1"/>
    <n v="128.6"/>
    <n v="0.05"/>
    <n v="122.17"/>
    <n v="60"/>
    <n v="62.17"/>
    <s v="Credit Card"/>
    <x v="1"/>
  </r>
  <r>
    <x v="32"/>
    <x v="30"/>
    <s v="Riley Smith"/>
    <x v="3"/>
    <s v="Oceania"/>
    <x v="7"/>
    <x v="1"/>
    <n v="1"/>
    <n v="416.61"/>
    <n v="0"/>
    <n v="416.61"/>
    <n v="280"/>
    <n v="136.61000000000001"/>
    <s v="Credit Card"/>
    <x v="2"/>
  </r>
  <r>
    <x v="33"/>
    <x v="31"/>
    <s v="Mia Lewis"/>
    <x v="4"/>
    <s v="Africa"/>
    <x v="7"/>
    <x v="1"/>
    <n v="4"/>
    <n v="446.34"/>
    <n v="0.1"/>
    <n v="1606.82"/>
    <n v="1120"/>
    <n v="486.82"/>
    <s v="Debit Card"/>
    <x v="1"/>
  </r>
  <r>
    <x v="34"/>
    <x v="32"/>
    <s v="Sophia Anderson"/>
    <x v="0"/>
    <s v="Europe"/>
    <x v="3"/>
    <x v="1"/>
    <n v="1"/>
    <n v="813.11"/>
    <n v="0"/>
    <n v="813.11"/>
    <n v="600"/>
    <n v="213.11"/>
    <s v="Credit Card"/>
    <x v="2"/>
  </r>
  <r>
    <x v="35"/>
    <x v="33"/>
    <s v="Olivia Davis"/>
    <x v="3"/>
    <s v="Oceania"/>
    <x v="4"/>
    <x v="1"/>
    <n v="1"/>
    <n v="244.93"/>
    <n v="0.05"/>
    <n v="232.68"/>
    <n v="150"/>
    <n v="82.68"/>
    <s v="Credit Card"/>
    <x v="1"/>
  </r>
  <r>
    <x v="36"/>
    <x v="34"/>
    <s v="Morgan Taylor"/>
    <x v="6"/>
    <s v="North America"/>
    <x v="1"/>
    <x v="0"/>
    <n v="4"/>
    <n v="195.89"/>
    <n v="0"/>
    <n v="783.56"/>
    <n v="440"/>
    <n v="343.56"/>
    <s v="Credit Card"/>
    <x v="1"/>
  </r>
  <r>
    <x v="37"/>
    <x v="35"/>
    <s v="Drew Hall"/>
    <x v="5"/>
    <s v="Europe"/>
    <x v="4"/>
    <x v="1"/>
    <n v="1"/>
    <n v="258.25"/>
    <n v="0"/>
    <n v="258.25"/>
    <n v="150"/>
    <n v="108.25"/>
    <s v="Credit Card"/>
    <x v="1"/>
  </r>
  <r>
    <x v="38"/>
    <x v="36"/>
    <s v="Cameron Lewis"/>
    <x v="0"/>
    <s v="Europe"/>
    <x v="7"/>
    <x v="1"/>
    <n v="1"/>
    <n v="451.56"/>
    <n v="0"/>
    <n v="451.56"/>
    <n v="280"/>
    <n v="171.56"/>
    <s v="Debit Card"/>
    <x v="1"/>
  </r>
  <r>
    <x v="39"/>
    <x v="37"/>
    <s v="Mia Wilson"/>
    <x v="3"/>
    <s v="Oceania"/>
    <x v="7"/>
    <x v="1"/>
    <n v="1"/>
    <n v="408.98"/>
    <n v="0"/>
    <n v="408.98"/>
    <n v="280"/>
    <n v="128.97999999999999"/>
    <s v="Bank Transfer"/>
    <x v="1"/>
  </r>
  <r>
    <x v="40"/>
    <x v="38"/>
    <s v="Liam Brown"/>
    <x v="3"/>
    <s v="Oceania"/>
    <x v="0"/>
    <x v="0"/>
    <n v="3"/>
    <n v="270.11"/>
    <n v="0"/>
    <n v="810.33"/>
    <n v="510"/>
    <n v="300.33"/>
    <s v="Bank Transfer"/>
    <x v="1"/>
  </r>
  <r>
    <x v="41"/>
    <x v="39"/>
    <s v="Chris Martin"/>
    <x v="4"/>
    <s v="Africa"/>
    <x v="4"/>
    <x v="1"/>
    <n v="1"/>
    <n v="249.95"/>
    <n v="0.1"/>
    <n v="224.96"/>
    <n v="150"/>
    <n v="74.959999999999994"/>
    <s v="Bank Transfer"/>
    <x v="0"/>
  </r>
  <r>
    <x v="42"/>
    <x v="1"/>
    <s v="Casey Davis"/>
    <x v="6"/>
    <s v="North America"/>
    <x v="6"/>
    <x v="0"/>
    <n v="2"/>
    <n v="334.77"/>
    <n v="0"/>
    <n v="669.54"/>
    <n v="400"/>
    <n v="269.54000000000002"/>
    <s v="Credit Card"/>
    <x v="1"/>
  </r>
  <r>
    <x v="43"/>
    <x v="40"/>
    <s v="Liam Thomas"/>
    <x v="5"/>
    <s v="Europe"/>
    <x v="7"/>
    <x v="1"/>
    <n v="2"/>
    <n v="436.34"/>
    <n v="0.05"/>
    <n v="829.05"/>
    <n v="560"/>
    <n v="269.05"/>
    <s v="PayPal"/>
    <x v="0"/>
  </r>
  <r>
    <x v="44"/>
    <x v="41"/>
    <s v="Alex Walker"/>
    <x v="5"/>
    <s v="Europe"/>
    <x v="5"/>
    <x v="1"/>
    <n v="3"/>
    <n v="77.52"/>
    <n v="0"/>
    <n v="232.56"/>
    <n v="120"/>
    <n v="112.56"/>
    <s v="Debit Card"/>
    <x v="0"/>
  </r>
  <r>
    <x v="45"/>
    <x v="42"/>
    <s v="Chris Young"/>
    <x v="6"/>
    <s v="North America"/>
    <x v="3"/>
    <x v="1"/>
    <n v="3"/>
    <n v="837.77"/>
    <n v="0"/>
    <n v="2513.31"/>
    <n v="1800"/>
    <n v="713.31"/>
    <s v="Credit Card"/>
    <x v="1"/>
  </r>
  <r>
    <x v="46"/>
    <x v="43"/>
    <s v="Jordan Brown"/>
    <x v="5"/>
    <s v="Europe"/>
    <x v="4"/>
    <x v="1"/>
    <n v="1"/>
    <n v="254.36"/>
    <n v="0"/>
    <n v="254.36"/>
    <n v="150"/>
    <n v="104.36"/>
    <s v="Credit Card"/>
    <x v="1"/>
  </r>
  <r>
    <x v="47"/>
    <x v="44"/>
    <s v="Morgan Martin"/>
    <x v="4"/>
    <s v="Africa"/>
    <x v="2"/>
    <x v="1"/>
    <n v="4"/>
    <n v="126.53"/>
    <n v="0.1"/>
    <n v="455.51"/>
    <n v="240"/>
    <n v="215.51"/>
    <s v="Debit Card"/>
    <x v="2"/>
  </r>
  <r>
    <x v="48"/>
    <x v="45"/>
    <s v="Casey Lewis"/>
    <x v="6"/>
    <s v="North America"/>
    <x v="2"/>
    <x v="1"/>
    <n v="2"/>
    <n v="126.11"/>
    <n v="0"/>
    <n v="252.22"/>
    <n v="120"/>
    <n v="132.22"/>
    <s v="Debit Card"/>
    <x v="2"/>
  </r>
  <r>
    <x v="49"/>
    <x v="46"/>
    <s v="Mia Clark"/>
    <x v="5"/>
    <s v="Europe"/>
    <x v="3"/>
    <x v="1"/>
    <n v="2"/>
    <n v="862.37"/>
    <n v="0.05"/>
    <n v="1638.5"/>
    <n v="1200"/>
    <n v="438.5"/>
    <s v="Credit Card"/>
    <x v="1"/>
  </r>
  <r>
    <x v="50"/>
    <x v="47"/>
    <s v="Daniel Brown"/>
    <x v="5"/>
    <s v="Europe"/>
    <x v="5"/>
    <x v="1"/>
    <n v="2"/>
    <n v="77.849999999999994"/>
    <n v="0.15"/>
    <n v="132.34"/>
    <n v="80"/>
    <n v="52.34"/>
    <s v="Debit Card"/>
    <x v="1"/>
  </r>
  <r>
    <x v="51"/>
    <x v="48"/>
    <s v="Liam Moore"/>
    <x v="5"/>
    <s v="Europe"/>
    <x v="5"/>
    <x v="1"/>
    <n v="2"/>
    <n v="78.59"/>
    <n v="0.05"/>
    <n v="149.32"/>
    <n v="80"/>
    <n v="69.319999999999993"/>
    <s v="Credit Card"/>
    <x v="0"/>
  </r>
  <r>
    <x v="52"/>
    <x v="49"/>
    <s v="Sam Clark"/>
    <x v="3"/>
    <s v="Oceania"/>
    <x v="6"/>
    <x v="0"/>
    <n v="2"/>
    <n v="346.26"/>
    <n v="0"/>
    <n v="692.52"/>
    <n v="400"/>
    <n v="292.52"/>
    <s v="Credit Card"/>
    <x v="1"/>
  </r>
  <r>
    <x v="53"/>
    <x v="50"/>
    <s v="Riley Martin"/>
    <x v="7"/>
    <s v="North America"/>
    <x v="5"/>
    <x v="1"/>
    <n v="4"/>
    <n v="75.400000000000006"/>
    <n v="0.1"/>
    <n v="271.44"/>
    <n v="160"/>
    <n v="111.44"/>
    <s v="Debit Card"/>
    <x v="0"/>
  </r>
  <r>
    <x v="54"/>
    <x v="51"/>
    <s v="Alex Taylor"/>
    <x v="4"/>
    <s v="Africa"/>
    <x v="0"/>
    <x v="0"/>
    <n v="1"/>
    <n v="274.63"/>
    <n v="0.2"/>
    <n v="219.7"/>
    <n v="170"/>
    <n v="49.7"/>
    <s v="Bank Transfer"/>
    <x v="0"/>
  </r>
  <r>
    <x v="55"/>
    <x v="46"/>
    <s v="Chris Taylor"/>
    <x v="4"/>
    <s v="Africa"/>
    <x v="5"/>
    <x v="1"/>
    <n v="2"/>
    <n v="75.95"/>
    <n v="0.1"/>
    <n v="136.71"/>
    <n v="80"/>
    <n v="56.71"/>
    <s v="Bank Transfer"/>
    <x v="1"/>
  </r>
  <r>
    <x v="56"/>
    <x v="52"/>
    <s v="Daniel Lewis"/>
    <x v="3"/>
    <s v="Oceania"/>
    <x v="6"/>
    <x v="0"/>
    <n v="2"/>
    <n v="328.55"/>
    <n v="0"/>
    <n v="657.1"/>
    <n v="400"/>
    <n v="257.10000000000002"/>
    <s v="Bank Transfer"/>
    <x v="0"/>
  </r>
  <r>
    <x v="57"/>
    <x v="37"/>
    <s v="Alex Taylor"/>
    <x v="5"/>
    <s v="Europe"/>
    <x v="0"/>
    <x v="0"/>
    <n v="1"/>
    <n v="278.33"/>
    <n v="0"/>
    <n v="278.33"/>
    <n v="170"/>
    <n v="108.33"/>
    <s v="Debit Card"/>
    <x v="0"/>
  </r>
  <r>
    <x v="58"/>
    <x v="32"/>
    <s v="Sam Lewis"/>
    <x v="1"/>
    <s v="Asia"/>
    <x v="0"/>
    <x v="0"/>
    <n v="1"/>
    <n v="280.12"/>
    <n v="0.15"/>
    <n v="238.1"/>
    <n v="170"/>
    <n v="68.099999999999994"/>
    <s v="Credit Card"/>
    <x v="2"/>
  </r>
  <r>
    <x v="59"/>
    <x v="53"/>
    <s v="Alex Wilson"/>
    <x v="6"/>
    <s v="North America"/>
    <x v="7"/>
    <x v="1"/>
    <n v="1"/>
    <n v="415.08"/>
    <n v="0"/>
    <n v="415.08"/>
    <n v="280"/>
    <n v="135.08000000000001"/>
    <s v="Bank Transfer"/>
    <x v="1"/>
  </r>
  <r>
    <x v="60"/>
    <x v="54"/>
    <s v="Riley Martin"/>
    <x v="7"/>
    <s v="North America"/>
    <x v="1"/>
    <x v="0"/>
    <n v="1"/>
    <n v="183.14"/>
    <n v="0"/>
    <n v="183.14"/>
    <n v="110"/>
    <n v="73.14"/>
    <s v="Credit Card"/>
    <x v="1"/>
  </r>
  <r>
    <x v="61"/>
    <x v="49"/>
    <s v="Olivia Moore"/>
    <x v="0"/>
    <s v="Europe"/>
    <x v="7"/>
    <x v="1"/>
    <n v="1"/>
    <n v="413.19"/>
    <n v="0"/>
    <n v="413.19"/>
    <n v="280"/>
    <n v="133.19"/>
    <s v="Credit Card"/>
    <x v="0"/>
  </r>
  <r>
    <x v="62"/>
    <x v="39"/>
    <s v="Sophia Wilson"/>
    <x v="1"/>
    <s v="Asia"/>
    <x v="0"/>
    <x v="0"/>
    <n v="1"/>
    <n v="294.87"/>
    <n v="0"/>
    <n v="294.87"/>
    <n v="170"/>
    <n v="124.87"/>
    <s v="Debit Card"/>
    <x v="1"/>
  </r>
  <r>
    <x v="63"/>
    <x v="55"/>
    <s v="Alex Johnson"/>
    <x v="2"/>
    <s v="Africa"/>
    <x v="7"/>
    <x v="1"/>
    <n v="3"/>
    <n v="421.45"/>
    <n v="0"/>
    <n v="1264.3499999999999"/>
    <n v="840"/>
    <n v="424.35"/>
    <s v="PayPal"/>
    <x v="1"/>
  </r>
  <r>
    <x v="64"/>
    <x v="56"/>
    <s v="Alex Johnson"/>
    <x v="7"/>
    <s v="North America"/>
    <x v="4"/>
    <x v="1"/>
    <n v="2"/>
    <n v="245.76"/>
    <n v="0.1"/>
    <n v="442.37"/>
    <n v="300"/>
    <n v="142.37"/>
    <s v="Credit Card"/>
    <x v="1"/>
  </r>
  <r>
    <x v="65"/>
    <x v="57"/>
    <s v="Casey Wilson"/>
    <x v="2"/>
    <s v="Africa"/>
    <x v="5"/>
    <x v="1"/>
    <n v="4"/>
    <n v="80.97"/>
    <n v="0.2"/>
    <n v="259.10000000000002"/>
    <n v="160"/>
    <n v="99.1"/>
    <s v="PayPal"/>
    <x v="0"/>
  </r>
  <r>
    <x v="66"/>
    <x v="58"/>
    <s v="Morgan Hall"/>
    <x v="4"/>
    <s v="Africa"/>
    <x v="6"/>
    <x v="0"/>
    <n v="1"/>
    <n v="320.36"/>
    <n v="0"/>
    <n v="320.36"/>
    <n v="200"/>
    <n v="120.36"/>
    <s v="PayPal"/>
    <x v="2"/>
  </r>
  <r>
    <x v="67"/>
    <x v="59"/>
    <s v="Taylor Clark"/>
    <x v="0"/>
    <s v="Europe"/>
    <x v="4"/>
    <x v="1"/>
    <n v="1"/>
    <n v="244.23"/>
    <n v="0.05"/>
    <n v="232.02"/>
    <n v="150"/>
    <n v="82.02"/>
    <s v="Credit Card"/>
    <x v="0"/>
  </r>
  <r>
    <x v="68"/>
    <x v="60"/>
    <s v="Emma Anderson"/>
    <x v="4"/>
    <s v="Africa"/>
    <x v="6"/>
    <x v="0"/>
    <n v="4"/>
    <n v="314.41000000000003"/>
    <n v="0"/>
    <n v="1257.6400000000001"/>
    <n v="800"/>
    <n v="457.64"/>
    <s v="Bank Transfer"/>
    <x v="2"/>
  </r>
  <r>
    <x v="69"/>
    <x v="61"/>
    <s v="Ethan Johnson"/>
    <x v="5"/>
    <s v="Europe"/>
    <x v="2"/>
    <x v="1"/>
    <n v="5"/>
    <n v="129.30000000000001"/>
    <n v="0.05"/>
    <n v="614.16999999999996"/>
    <n v="300"/>
    <n v="314.17"/>
    <s v="Bank Transfer"/>
    <x v="2"/>
  </r>
  <r>
    <x v="70"/>
    <x v="62"/>
    <s v="Drew Brown"/>
    <x v="6"/>
    <s v="North America"/>
    <x v="6"/>
    <x v="0"/>
    <n v="2"/>
    <n v="321.33999999999997"/>
    <n v="0.15"/>
    <n v="546.28"/>
    <n v="400"/>
    <n v="146.28"/>
    <s v="Bank Transfer"/>
    <x v="2"/>
  </r>
  <r>
    <x v="71"/>
    <x v="63"/>
    <s v="Jordan Taylor"/>
    <x v="1"/>
    <s v="Asia"/>
    <x v="3"/>
    <x v="1"/>
    <n v="2"/>
    <n v="858.23"/>
    <n v="0"/>
    <n v="1716.46"/>
    <n v="1200"/>
    <n v="516.46"/>
    <s v="Debit Card"/>
    <x v="1"/>
  </r>
  <r>
    <x v="72"/>
    <x v="64"/>
    <s v="Liam Young"/>
    <x v="5"/>
    <s v="Europe"/>
    <x v="1"/>
    <x v="0"/>
    <n v="2"/>
    <n v="191.86"/>
    <n v="0.05"/>
    <n v="364.53"/>
    <n v="220"/>
    <n v="144.53"/>
    <s v="Debit Card"/>
    <x v="2"/>
  </r>
  <r>
    <x v="73"/>
    <x v="65"/>
    <s v="Ethan Walker"/>
    <x v="0"/>
    <s v="Europe"/>
    <x v="1"/>
    <x v="0"/>
    <n v="2"/>
    <n v="193.23"/>
    <n v="0.1"/>
    <n v="347.81"/>
    <n v="220"/>
    <n v="127.81"/>
    <s v="Credit Card"/>
    <x v="1"/>
  </r>
  <r>
    <x v="74"/>
    <x v="66"/>
    <s v="Casey Moore"/>
    <x v="7"/>
    <s v="North America"/>
    <x v="5"/>
    <x v="1"/>
    <n v="2"/>
    <n v="76.599999999999994"/>
    <n v="0"/>
    <n v="153.19999999999999"/>
    <n v="80"/>
    <n v="73.2"/>
    <s v="Credit Card"/>
    <x v="0"/>
  </r>
  <r>
    <x v="75"/>
    <x v="67"/>
    <s v="Emma Thomas"/>
    <x v="7"/>
    <s v="North America"/>
    <x v="0"/>
    <x v="0"/>
    <n v="2"/>
    <n v="278.45"/>
    <n v="0"/>
    <n v="556.9"/>
    <n v="340"/>
    <n v="216.9"/>
    <s v="PayPal"/>
    <x v="0"/>
  </r>
  <r>
    <x v="76"/>
    <x v="68"/>
    <s v="Daniel Young"/>
    <x v="6"/>
    <s v="North America"/>
    <x v="7"/>
    <x v="1"/>
    <n v="4"/>
    <n v="431.61"/>
    <n v="0"/>
    <n v="1726.44"/>
    <n v="1120"/>
    <n v="606.44000000000005"/>
    <s v="Debit Card"/>
    <x v="0"/>
  </r>
  <r>
    <x v="77"/>
    <x v="69"/>
    <s v="Noah Clark"/>
    <x v="7"/>
    <s v="North America"/>
    <x v="5"/>
    <x v="1"/>
    <n v="2"/>
    <n v="78.540000000000006"/>
    <n v="0.05"/>
    <n v="149.22999999999999"/>
    <n v="80"/>
    <n v="69.23"/>
    <s v="Credit Card"/>
    <x v="2"/>
  </r>
  <r>
    <x v="78"/>
    <x v="70"/>
    <s v="Jamie Brown"/>
    <x v="3"/>
    <s v="Oceania"/>
    <x v="6"/>
    <x v="0"/>
    <n v="3"/>
    <n v="345.39"/>
    <n v="0"/>
    <n v="1036.17"/>
    <n v="600"/>
    <n v="436.17"/>
    <s v="Debit Card"/>
    <x v="1"/>
  </r>
  <r>
    <x v="79"/>
    <x v="71"/>
    <s v="Chris Moore"/>
    <x v="4"/>
    <s v="Africa"/>
    <x v="5"/>
    <x v="1"/>
    <n v="1"/>
    <n v="73.31"/>
    <n v="0"/>
    <n v="73.31"/>
    <n v="40"/>
    <n v="33.31"/>
    <s v="PayPal"/>
    <x v="2"/>
  </r>
  <r>
    <x v="80"/>
    <x v="72"/>
    <s v="Jordan Young"/>
    <x v="7"/>
    <s v="North America"/>
    <x v="2"/>
    <x v="1"/>
    <n v="3"/>
    <n v="123.11"/>
    <n v="0.05"/>
    <n v="350.86"/>
    <n v="180"/>
    <n v="170.86"/>
    <s v="Bank Transfer"/>
    <x v="1"/>
  </r>
  <r>
    <x v="81"/>
    <x v="73"/>
    <s v="Mia Taylor"/>
    <x v="7"/>
    <s v="North America"/>
    <x v="3"/>
    <x v="1"/>
    <n v="2"/>
    <n v="874.63"/>
    <n v="0.15"/>
    <n v="1486.87"/>
    <n v="1200"/>
    <n v="286.87"/>
    <s v="Debit Card"/>
    <x v="1"/>
  </r>
  <r>
    <x v="82"/>
    <x v="74"/>
    <s v="Cameron Anderson"/>
    <x v="4"/>
    <s v="Africa"/>
    <x v="6"/>
    <x v="0"/>
    <n v="2"/>
    <n v="344.7"/>
    <n v="0.05"/>
    <n v="654.92999999999995"/>
    <n v="400"/>
    <n v="254.93"/>
    <s v="Credit Card"/>
    <x v="1"/>
  </r>
  <r>
    <x v="83"/>
    <x v="75"/>
    <s v="Morgan Young"/>
    <x v="0"/>
    <s v="Europe"/>
    <x v="1"/>
    <x v="0"/>
    <n v="1"/>
    <n v="204.45"/>
    <n v="0"/>
    <n v="204.45"/>
    <n v="110"/>
    <n v="94.45"/>
    <s v="Bank Transfer"/>
    <x v="1"/>
  </r>
  <r>
    <x v="84"/>
    <x v="14"/>
    <s v="Chris Wilson"/>
    <x v="6"/>
    <s v="North America"/>
    <x v="7"/>
    <x v="1"/>
    <n v="3"/>
    <n v="414.29"/>
    <n v="0.05"/>
    <n v="1180.73"/>
    <n v="840"/>
    <n v="340.73"/>
    <s v="Credit Card"/>
    <x v="1"/>
  </r>
  <r>
    <x v="85"/>
    <x v="36"/>
    <s v="Noah Taylor"/>
    <x v="0"/>
    <s v="Europe"/>
    <x v="3"/>
    <x v="1"/>
    <n v="3"/>
    <n v="885.65"/>
    <n v="0.05"/>
    <n v="2524.1"/>
    <n v="1800"/>
    <n v="724.1"/>
    <s v="Debit Card"/>
    <x v="1"/>
  </r>
  <r>
    <x v="86"/>
    <x v="76"/>
    <s v="Casey Anderson"/>
    <x v="4"/>
    <s v="Africa"/>
    <x v="2"/>
    <x v="1"/>
    <n v="3"/>
    <n v="121.09"/>
    <n v="0"/>
    <n v="363.27"/>
    <n v="180"/>
    <n v="183.27"/>
    <s v="Debit Card"/>
    <x v="1"/>
  </r>
  <r>
    <x v="87"/>
    <x v="77"/>
    <s v="Sam Young"/>
    <x v="7"/>
    <s v="North America"/>
    <x v="5"/>
    <x v="1"/>
    <n v="1"/>
    <n v="78.66"/>
    <n v="0.05"/>
    <n v="74.73"/>
    <n v="40"/>
    <n v="34.729999999999997"/>
    <s v="Debit Card"/>
    <x v="1"/>
  </r>
  <r>
    <x v="88"/>
    <x v="78"/>
    <s v="Sam Moore"/>
    <x v="3"/>
    <s v="Oceania"/>
    <x v="3"/>
    <x v="1"/>
    <n v="4"/>
    <n v="852.64"/>
    <n v="0.1"/>
    <n v="3069.5"/>
    <n v="2400"/>
    <n v="669.5"/>
    <s v="Credit Card"/>
    <x v="1"/>
  </r>
  <r>
    <x v="89"/>
    <x v="37"/>
    <s v="Cameron Wilson"/>
    <x v="1"/>
    <s v="Asia"/>
    <x v="1"/>
    <x v="0"/>
    <n v="3"/>
    <n v="183.95"/>
    <n v="0.1"/>
    <n v="496.66"/>
    <n v="330"/>
    <n v="166.66"/>
    <s v="Credit Card"/>
    <x v="1"/>
  </r>
  <r>
    <x v="90"/>
    <x v="79"/>
    <s v="Mia Martin"/>
    <x v="4"/>
    <s v="Africa"/>
    <x v="0"/>
    <x v="0"/>
    <n v="1"/>
    <n v="293.70999999999998"/>
    <n v="0.05"/>
    <n v="279.02"/>
    <n v="170"/>
    <n v="109.02"/>
    <s v="Debit Card"/>
    <x v="0"/>
  </r>
  <r>
    <x v="91"/>
    <x v="80"/>
    <s v="Emma Smith"/>
    <x v="1"/>
    <s v="Asia"/>
    <x v="6"/>
    <x v="0"/>
    <n v="5"/>
    <n v="331.56"/>
    <n v="0.05"/>
    <n v="1574.91"/>
    <n v="1000"/>
    <n v="574.91"/>
    <s v="Credit Card"/>
    <x v="0"/>
  </r>
  <r>
    <x v="92"/>
    <x v="81"/>
    <s v="Avery Brown"/>
    <x v="1"/>
    <s v="Asia"/>
    <x v="1"/>
    <x v="0"/>
    <n v="3"/>
    <n v="203.71"/>
    <n v="0"/>
    <n v="611.13"/>
    <n v="330"/>
    <n v="281.13"/>
    <s v="Credit Card"/>
    <x v="1"/>
  </r>
  <r>
    <x v="93"/>
    <x v="82"/>
    <s v="Jamie Moore"/>
    <x v="3"/>
    <s v="Oceania"/>
    <x v="0"/>
    <x v="0"/>
    <n v="2"/>
    <n v="281.74"/>
    <n v="0.1"/>
    <n v="507.13"/>
    <n v="340"/>
    <n v="167.13"/>
    <s v="Credit Card"/>
    <x v="1"/>
  </r>
  <r>
    <x v="94"/>
    <x v="83"/>
    <s v="Alex Taylor"/>
    <x v="2"/>
    <s v="Africa"/>
    <x v="5"/>
    <x v="1"/>
    <n v="3"/>
    <n v="79.8"/>
    <n v="0.1"/>
    <n v="215.46"/>
    <n v="120"/>
    <n v="95.46"/>
    <s v="Bank Transfer"/>
    <x v="1"/>
  </r>
  <r>
    <x v="95"/>
    <x v="84"/>
    <s v="Emma Davis"/>
    <x v="4"/>
    <s v="Africa"/>
    <x v="1"/>
    <x v="0"/>
    <n v="3"/>
    <n v="193.83"/>
    <n v="0.05"/>
    <n v="552.41999999999996"/>
    <n v="330"/>
    <n v="222.42"/>
    <s v="Bank Transfer"/>
    <x v="2"/>
  </r>
  <r>
    <x v="96"/>
    <x v="85"/>
    <s v="Daniel Clark"/>
    <x v="5"/>
    <s v="Europe"/>
    <x v="2"/>
    <x v="1"/>
    <n v="3"/>
    <n v="123.34"/>
    <n v="0.1"/>
    <n v="333.02"/>
    <n v="180"/>
    <n v="153.02000000000001"/>
    <s v="PayPal"/>
    <x v="1"/>
  </r>
  <r>
    <x v="97"/>
    <x v="86"/>
    <s v="Mia Thomas"/>
    <x v="1"/>
    <s v="Asia"/>
    <x v="4"/>
    <x v="1"/>
    <n v="2"/>
    <n v="232.78"/>
    <n v="0.15"/>
    <n v="395.73"/>
    <n v="300"/>
    <n v="95.73"/>
    <s v="Debit Card"/>
    <x v="2"/>
  </r>
  <r>
    <x v="98"/>
    <x v="70"/>
    <s v="Casey Thomas"/>
    <x v="1"/>
    <s v="Asia"/>
    <x v="5"/>
    <x v="1"/>
    <n v="3"/>
    <n v="80.209999999999994"/>
    <n v="0"/>
    <n v="240.63"/>
    <n v="120"/>
    <n v="120.63"/>
    <s v="Credit Card"/>
    <x v="2"/>
  </r>
  <r>
    <x v="99"/>
    <x v="87"/>
    <s v="Cameron Taylor"/>
    <x v="3"/>
    <s v="Oceania"/>
    <x v="7"/>
    <x v="1"/>
    <n v="1"/>
    <n v="404.69"/>
    <n v="0"/>
    <n v="404.69"/>
    <n v="280"/>
    <n v="124.69"/>
    <s v="PayPal"/>
    <x v="1"/>
  </r>
  <r>
    <x v="100"/>
    <x v="34"/>
    <s v="Sophia Thomas"/>
    <x v="4"/>
    <s v="Africa"/>
    <x v="7"/>
    <x v="1"/>
    <n v="4"/>
    <n v="449.28"/>
    <n v="0"/>
    <n v="1797.12"/>
    <n v="1120"/>
    <n v="677.12"/>
    <s v="Debit Card"/>
    <x v="1"/>
  </r>
  <r>
    <x v="101"/>
    <x v="81"/>
    <s v="Daniel Moore"/>
    <x v="6"/>
    <s v="North America"/>
    <x v="7"/>
    <x v="1"/>
    <n v="4"/>
    <n v="417.21"/>
    <n v="0"/>
    <n v="1668.84"/>
    <n v="1120"/>
    <n v="548.84"/>
    <s v="PayPal"/>
    <x v="0"/>
  </r>
  <r>
    <x v="102"/>
    <x v="88"/>
    <s v="Sophia Taylor"/>
    <x v="5"/>
    <s v="Europe"/>
    <x v="7"/>
    <x v="1"/>
    <n v="5"/>
    <n v="400.79"/>
    <n v="0.05"/>
    <n v="1903.75"/>
    <n v="1400"/>
    <n v="503.75"/>
    <s v="Credit Card"/>
    <x v="1"/>
  </r>
  <r>
    <x v="103"/>
    <x v="89"/>
    <s v="Ethan Wilson"/>
    <x v="4"/>
    <s v="Africa"/>
    <x v="1"/>
    <x v="0"/>
    <n v="2"/>
    <n v="187.36"/>
    <n v="0.1"/>
    <n v="337.25"/>
    <n v="220"/>
    <n v="117.25"/>
    <s v="Debit Card"/>
    <x v="0"/>
  </r>
  <r>
    <x v="104"/>
    <x v="90"/>
    <s v="Olivia Anderson"/>
    <x v="6"/>
    <s v="North America"/>
    <x v="5"/>
    <x v="1"/>
    <n v="2"/>
    <n v="80.97"/>
    <n v="0"/>
    <n v="161.94"/>
    <n v="80"/>
    <n v="81.94"/>
    <s v="Debit Card"/>
    <x v="1"/>
  </r>
  <r>
    <x v="105"/>
    <x v="7"/>
    <s v="Olivia Walker"/>
    <x v="5"/>
    <s v="Europe"/>
    <x v="2"/>
    <x v="1"/>
    <n v="4"/>
    <n v="121.3"/>
    <n v="0"/>
    <n v="485.2"/>
    <n v="240"/>
    <n v="245.2"/>
    <s v="Credit Card"/>
    <x v="0"/>
  </r>
  <r>
    <x v="106"/>
    <x v="52"/>
    <s v="Olivia Johnson"/>
    <x v="7"/>
    <s v="North America"/>
    <x v="3"/>
    <x v="1"/>
    <n v="4"/>
    <n v="865.45"/>
    <n v="0.05"/>
    <n v="3288.71"/>
    <n v="2400"/>
    <n v="888.71"/>
    <s v="Debit Card"/>
    <x v="2"/>
  </r>
  <r>
    <x v="107"/>
    <x v="91"/>
    <s v="Drew Brown"/>
    <x v="6"/>
    <s v="North America"/>
    <x v="1"/>
    <x v="0"/>
    <n v="4"/>
    <n v="189.72"/>
    <n v="0.15"/>
    <n v="645.04999999999995"/>
    <n v="440"/>
    <n v="205.05"/>
    <s v="Bank Transfer"/>
    <x v="1"/>
  </r>
  <r>
    <x v="108"/>
    <x v="92"/>
    <s v="Taylor Thomas"/>
    <x v="3"/>
    <s v="Oceania"/>
    <x v="5"/>
    <x v="1"/>
    <n v="4"/>
    <n v="75.23"/>
    <n v="0.1"/>
    <n v="270.83"/>
    <n v="160"/>
    <n v="110.83"/>
    <s v="Credit Card"/>
    <x v="1"/>
  </r>
  <r>
    <x v="109"/>
    <x v="93"/>
    <s v="Emma Thomas"/>
    <x v="2"/>
    <s v="Africa"/>
    <x v="3"/>
    <x v="1"/>
    <n v="4"/>
    <n v="879.63"/>
    <n v="0"/>
    <n v="3518.52"/>
    <n v="2400"/>
    <n v="1118.52"/>
    <s v="Credit Card"/>
    <x v="1"/>
  </r>
  <r>
    <x v="110"/>
    <x v="67"/>
    <s v="Noah Young"/>
    <x v="1"/>
    <s v="Asia"/>
    <x v="1"/>
    <x v="0"/>
    <n v="4"/>
    <n v="203.83"/>
    <n v="0.15"/>
    <n v="693.02"/>
    <n v="440"/>
    <n v="253.02"/>
    <s v="Credit Card"/>
    <x v="1"/>
  </r>
  <r>
    <x v="111"/>
    <x v="94"/>
    <s v="Morgan Walker"/>
    <x v="3"/>
    <s v="Oceania"/>
    <x v="3"/>
    <x v="1"/>
    <n v="1"/>
    <n v="827.55"/>
    <n v="0"/>
    <n v="827.55"/>
    <n v="600"/>
    <n v="227.55"/>
    <s v="Debit Card"/>
    <x v="0"/>
  </r>
  <r>
    <x v="112"/>
    <x v="95"/>
    <s v="Chris Davis"/>
    <x v="4"/>
    <s v="Africa"/>
    <x v="5"/>
    <x v="1"/>
    <n v="2"/>
    <n v="74.790000000000006"/>
    <n v="0.1"/>
    <n v="134.62"/>
    <n v="80"/>
    <n v="54.62"/>
    <s v="Debit Card"/>
    <x v="1"/>
  </r>
  <r>
    <x v="113"/>
    <x v="96"/>
    <s v="Chris Thomas"/>
    <x v="6"/>
    <s v="North America"/>
    <x v="7"/>
    <x v="1"/>
    <n v="4"/>
    <n v="452.21"/>
    <n v="0"/>
    <n v="1808.84"/>
    <n v="1120"/>
    <n v="688.84"/>
    <s v="Credit Card"/>
    <x v="2"/>
  </r>
  <r>
    <x v="114"/>
    <x v="97"/>
    <s v="Noah Moore"/>
    <x v="2"/>
    <s v="Africa"/>
    <x v="4"/>
    <x v="1"/>
    <n v="4"/>
    <n v="228.7"/>
    <n v="0"/>
    <n v="914.8"/>
    <n v="600"/>
    <n v="314.8"/>
    <s v="Debit Card"/>
    <x v="2"/>
  </r>
  <r>
    <x v="115"/>
    <x v="98"/>
    <s v="Mia Johnson"/>
    <x v="6"/>
    <s v="North America"/>
    <x v="6"/>
    <x v="0"/>
    <n v="3"/>
    <n v="314.33999999999997"/>
    <n v="0"/>
    <n v="943.02"/>
    <n v="600"/>
    <n v="343.02"/>
    <s v="Credit Card"/>
    <x v="1"/>
  </r>
  <r>
    <x v="116"/>
    <x v="99"/>
    <s v="Casey Moore"/>
    <x v="1"/>
    <s v="Asia"/>
    <x v="0"/>
    <x v="0"/>
    <n v="4"/>
    <n v="263.64999999999998"/>
    <n v="0.05"/>
    <n v="1001.87"/>
    <n v="680"/>
    <n v="321.87"/>
    <s v="Debit Card"/>
    <x v="2"/>
  </r>
  <r>
    <x v="117"/>
    <x v="100"/>
    <s v="Riley Johnson"/>
    <x v="7"/>
    <s v="North America"/>
    <x v="6"/>
    <x v="0"/>
    <n v="1"/>
    <n v="345.67"/>
    <n v="0.15"/>
    <n v="293.82"/>
    <n v="200"/>
    <n v="93.82"/>
    <s v="Debit Card"/>
    <x v="2"/>
  </r>
  <r>
    <x v="118"/>
    <x v="32"/>
    <s v="Jordan Lewis"/>
    <x v="6"/>
    <s v="North America"/>
    <x v="7"/>
    <x v="1"/>
    <n v="2"/>
    <n v="422.04"/>
    <n v="0.1"/>
    <n v="759.67"/>
    <n v="560"/>
    <n v="199.67"/>
    <s v="PayPal"/>
    <x v="1"/>
  </r>
  <r>
    <x v="119"/>
    <x v="101"/>
    <s v="Morgan Smith"/>
    <x v="0"/>
    <s v="Europe"/>
    <x v="2"/>
    <x v="1"/>
    <n v="1"/>
    <n v="118.5"/>
    <n v="0"/>
    <n v="118.5"/>
    <n v="60"/>
    <n v="58.5"/>
    <s v="Bank Transfer"/>
    <x v="2"/>
  </r>
  <r>
    <x v="120"/>
    <x v="6"/>
    <s v="Alex Martin"/>
    <x v="7"/>
    <s v="North America"/>
    <x v="4"/>
    <x v="1"/>
    <n v="3"/>
    <n v="250.86"/>
    <n v="0.15"/>
    <n v="639.69000000000005"/>
    <n v="450"/>
    <n v="189.69"/>
    <s v="Credit Card"/>
    <x v="1"/>
  </r>
  <r>
    <x v="121"/>
    <x v="45"/>
    <s v="Cameron Martin"/>
    <x v="0"/>
    <s v="Europe"/>
    <x v="2"/>
    <x v="1"/>
    <n v="4"/>
    <n v="116.41"/>
    <n v="0.15"/>
    <n v="395.79"/>
    <n v="240"/>
    <n v="155.79"/>
    <s v="Debit Card"/>
    <x v="1"/>
  </r>
  <r>
    <x v="122"/>
    <x v="102"/>
    <s v="Avery Brown"/>
    <x v="6"/>
    <s v="North America"/>
    <x v="3"/>
    <x v="1"/>
    <n v="2"/>
    <n v="855.55"/>
    <n v="0.05"/>
    <n v="1625.54"/>
    <n v="1200"/>
    <n v="425.54"/>
    <s v="Bank Transfer"/>
    <x v="2"/>
  </r>
  <r>
    <x v="123"/>
    <x v="103"/>
    <s v="Olivia Walker"/>
    <x v="5"/>
    <s v="Europe"/>
    <x v="6"/>
    <x v="0"/>
    <n v="1"/>
    <n v="322.04000000000002"/>
    <n v="0"/>
    <n v="322.04000000000002"/>
    <n v="200"/>
    <n v="122.04"/>
    <s v="Bank Transfer"/>
    <x v="2"/>
  </r>
  <r>
    <x v="124"/>
    <x v="95"/>
    <s v="Olivia Anderson"/>
    <x v="0"/>
    <s v="Europe"/>
    <x v="6"/>
    <x v="0"/>
    <n v="6"/>
    <n v="335.75"/>
    <n v="0.1"/>
    <n v="1813.05"/>
    <n v="1200"/>
    <n v="613.04999999999995"/>
    <s v="Bank Transfer"/>
    <x v="2"/>
  </r>
  <r>
    <x v="125"/>
    <x v="104"/>
    <s v="Mia Martin"/>
    <x v="6"/>
    <s v="North America"/>
    <x v="7"/>
    <x v="1"/>
    <n v="2"/>
    <n v="452.93"/>
    <n v="0"/>
    <n v="905.86"/>
    <n v="560"/>
    <n v="345.86"/>
    <s v="Credit Card"/>
    <x v="2"/>
  </r>
  <r>
    <x v="126"/>
    <x v="105"/>
    <s v="Emma Wilson"/>
    <x v="6"/>
    <s v="North America"/>
    <x v="4"/>
    <x v="1"/>
    <n v="3"/>
    <n v="237.76"/>
    <n v="0.05"/>
    <n v="677.62"/>
    <n v="450"/>
    <n v="227.62"/>
    <s v="Bank Transfer"/>
    <x v="1"/>
  </r>
  <r>
    <x v="127"/>
    <x v="93"/>
    <s v="Avery Brown"/>
    <x v="7"/>
    <s v="North America"/>
    <x v="2"/>
    <x v="1"/>
    <n v="5"/>
    <n v="127.45"/>
    <n v="0.05"/>
    <n v="605.39"/>
    <n v="300"/>
    <n v="305.39"/>
    <s v="Credit Card"/>
    <x v="0"/>
  </r>
  <r>
    <x v="128"/>
    <x v="106"/>
    <s v="Taylor Wilson"/>
    <x v="2"/>
    <s v="Africa"/>
    <x v="4"/>
    <x v="1"/>
    <n v="2"/>
    <n v="243.01"/>
    <n v="0.05"/>
    <n v="461.72"/>
    <n v="300"/>
    <n v="161.72"/>
    <s v="Debit Card"/>
    <x v="1"/>
  </r>
  <r>
    <x v="129"/>
    <x v="107"/>
    <s v="Mia Johnson"/>
    <x v="3"/>
    <s v="Oceania"/>
    <x v="4"/>
    <x v="1"/>
    <n v="4"/>
    <n v="248.64"/>
    <n v="0.05"/>
    <n v="944.83"/>
    <n v="600"/>
    <n v="344.83"/>
    <s v="Debit Card"/>
    <x v="1"/>
  </r>
  <r>
    <x v="130"/>
    <x v="108"/>
    <s v="Mia Walker"/>
    <x v="2"/>
    <s v="Africa"/>
    <x v="7"/>
    <x v="1"/>
    <n v="1"/>
    <n v="400.16"/>
    <n v="0.1"/>
    <n v="360.14"/>
    <n v="280"/>
    <n v="80.14"/>
    <s v="Debit Card"/>
    <x v="0"/>
  </r>
  <r>
    <x v="131"/>
    <x v="31"/>
    <s v="Chris Moore"/>
    <x v="2"/>
    <s v="Africa"/>
    <x v="5"/>
    <x v="1"/>
    <n v="1"/>
    <n v="71.62"/>
    <n v="0"/>
    <n v="71.62"/>
    <n v="40"/>
    <n v="31.62"/>
    <s v="Debit Card"/>
    <x v="1"/>
  </r>
  <r>
    <x v="132"/>
    <x v="109"/>
    <s v="Olivia Brown"/>
    <x v="2"/>
    <s v="Africa"/>
    <x v="3"/>
    <x v="1"/>
    <n v="2"/>
    <n v="888.42"/>
    <n v="0.05"/>
    <n v="1688"/>
    <n v="1200"/>
    <n v="488"/>
    <s v="Debit Card"/>
    <x v="1"/>
  </r>
  <r>
    <x v="133"/>
    <x v="19"/>
    <s v="Emma Moore"/>
    <x v="7"/>
    <s v="North America"/>
    <x v="6"/>
    <x v="0"/>
    <n v="3"/>
    <n v="347.21"/>
    <n v="0"/>
    <n v="1041.6300000000001"/>
    <n v="600"/>
    <n v="441.63"/>
    <s v="Credit Card"/>
    <x v="1"/>
  </r>
  <r>
    <x v="134"/>
    <x v="110"/>
    <s v="Avery Thomas"/>
    <x v="5"/>
    <s v="Europe"/>
    <x v="7"/>
    <x v="1"/>
    <n v="4"/>
    <n v="431.14"/>
    <n v="0"/>
    <n v="1724.56"/>
    <n v="1120"/>
    <n v="604.55999999999995"/>
    <s v="PayPal"/>
    <x v="2"/>
  </r>
  <r>
    <x v="135"/>
    <x v="14"/>
    <s v="Daniel Walker"/>
    <x v="4"/>
    <s v="Africa"/>
    <x v="7"/>
    <x v="1"/>
    <n v="1"/>
    <n v="411.65"/>
    <n v="0.2"/>
    <n v="329.32"/>
    <n v="280"/>
    <n v="49.32"/>
    <s v="Bank Transfer"/>
    <x v="2"/>
  </r>
  <r>
    <x v="136"/>
    <x v="94"/>
    <s v="Jamie Wilson"/>
    <x v="5"/>
    <s v="Europe"/>
    <x v="7"/>
    <x v="1"/>
    <n v="2"/>
    <n v="451.27"/>
    <n v="0"/>
    <n v="902.54"/>
    <n v="560"/>
    <n v="342.54"/>
    <s v="Credit Card"/>
    <x v="0"/>
  </r>
  <r>
    <x v="137"/>
    <x v="111"/>
    <s v="Taylor Johnson"/>
    <x v="6"/>
    <s v="North America"/>
    <x v="2"/>
    <x v="1"/>
    <n v="3"/>
    <n v="118.06"/>
    <n v="0.05"/>
    <n v="336.47"/>
    <n v="180"/>
    <n v="156.47"/>
    <s v="Debit Card"/>
    <x v="0"/>
  </r>
  <r>
    <x v="138"/>
    <x v="112"/>
    <s v="Cameron Davis"/>
    <x v="1"/>
    <s v="Asia"/>
    <x v="2"/>
    <x v="1"/>
    <n v="1"/>
    <n v="122.38"/>
    <n v="0"/>
    <n v="122.38"/>
    <n v="60"/>
    <n v="62.38"/>
    <s v="Debit Card"/>
    <x v="1"/>
  </r>
  <r>
    <x v="139"/>
    <x v="113"/>
    <s v="Jordan Lewis"/>
    <x v="1"/>
    <s v="Asia"/>
    <x v="2"/>
    <x v="1"/>
    <n v="1"/>
    <n v="114.69"/>
    <n v="0.05"/>
    <n v="108.96"/>
    <n v="60"/>
    <n v="48.96"/>
    <s v="Credit Card"/>
    <x v="1"/>
  </r>
  <r>
    <x v="140"/>
    <x v="114"/>
    <s v="Riley Clark"/>
    <x v="4"/>
    <s v="Africa"/>
    <x v="2"/>
    <x v="1"/>
    <n v="1"/>
    <n v="119.81"/>
    <n v="0"/>
    <n v="119.81"/>
    <n v="60"/>
    <n v="59.81"/>
    <s v="Bank Transfer"/>
    <x v="1"/>
  </r>
  <r>
    <x v="141"/>
    <x v="28"/>
    <s v="Riley Walker"/>
    <x v="0"/>
    <s v="Europe"/>
    <x v="1"/>
    <x v="0"/>
    <n v="3"/>
    <n v="201.52"/>
    <n v="0"/>
    <n v="604.55999999999995"/>
    <n v="330"/>
    <n v="274.56"/>
    <s v="Debit Card"/>
    <x v="2"/>
  </r>
  <r>
    <x v="142"/>
    <x v="49"/>
    <s v="Alex Taylor"/>
    <x v="5"/>
    <s v="Europe"/>
    <x v="1"/>
    <x v="0"/>
    <n v="3"/>
    <n v="201.85"/>
    <n v="0.05"/>
    <n v="575.27"/>
    <n v="330"/>
    <n v="245.27"/>
    <s v="Debit Card"/>
    <x v="0"/>
  </r>
  <r>
    <x v="143"/>
    <x v="87"/>
    <s v="Drew Davis"/>
    <x v="6"/>
    <s v="North America"/>
    <x v="2"/>
    <x v="1"/>
    <n v="4"/>
    <n v="127.06"/>
    <n v="0.1"/>
    <n v="457.42"/>
    <n v="240"/>
    <n v="217.42"/>
    <s v="Debit Card"/>
    <x v="2"/>
  </r>
  <r>
    <x v="144"/>
    <x v="115"/>
    <s v="Drew Martin"/>
    <x v="4"/>
    <s v="Africa"/>
    <x v="2"/>
    <x v="1"/>
    <n v="6"/>
    <n v="127.71"/>
    <n v="0.05"/>
    <n v="727.95"/>
    <n v="360"/>
    <n v="367.95"/>
    <s v="Bank Transfer"/>
    <x v="1"/>
  </r>
  <r>
    <x v="145"/>
    <x v="31"/>
    <s v="Avery Johnson"/>
    <x v="3"/>
    <s v="Oceania"/>
    <x v="7"/>
    <x v="1"/>
    <n v="4"/>
    <n v="426.71"/>
    <n v="0.1"/>
    <n v="1536.16"/>
    <n v="1120"/>
    <n v="416.16"/>
    <s v="Credit Card"/>
    <x v="2"/>
  </r>
  <r>
    <x v="146"/>
    <x v="116"/>
    <s v="Mia Brown"/>
    <x v="6"/>
    <s v="North America"/>
    <x v="3"/>
    <x v="1"/>
    <n v="1"/>
    <n v="808.5"/>
    <n v="0"/>
    <n v="808.5"/>
    <n v="600"/>
    <n v="208.5"/>
    <s v="Credit Card"/>
    <x v="1"/>
  </r>
  <r>
    <x v="147"/>
    <x v="50"/>
    <s v="Casey Walker"/>
    <x v="6"/>
    <s v="North America"/>
    <x v="1"/>
    <x v="0"/>
    <n v="4"/>
    <n v="184.93"/>
    <n v="0"/>
    <n v="739.72"/>
    <n v="440"/>
    <n v="299.72000000000003"/>
    <s v="Bank Transfer"/>
    <x v="1"/>
  </r>
  <r>
    <x v="148"/>
    <x v="43"/>
    <s v="Alex Taylor"/>
    <x v="0"/>
    <s v="Europe"/>
    <x v="2"/>
    <x v="1"/>
    <n v="1"/>
    <n v="125.05"/>
    <n v="0.1"/>
    <n v="112.54"/>
    <n v="60"/>
    <n v="52.54"/>
    <s v="Debit Card"/>
    <x v="1"/>
  </r>
  <r>
    <x v="149"/>
    <x v="117"/>
    <s v="Daniel Walker"/>
    <x v="2"/>
    <s v="Africa"/>
    <x v="1"/>
    <x v="0"/>
    <n v="3"/>
    <n v="196.5"/>
    <n v="0"/>
    <n v="589.5"/>
    <n v="330"/>
    <n v="259.5"/>
    <s v="Debit Card"/>
    <x v="1"/>
  </r>
  <r>
    <x v="150"/>
    <x v="118"/>
    <s v="Jordan Hall"/>
    <x v="2"/>
    <s v="Africa"/>
    <x v="4"/>
    <x v="1"/>
    <n v="2"/>
    <n v="249.32"/>
    <n v="0.1"/>
    <n v="448.78"/>
    <n v="300"/>
    <n v="148.78"/>
    <s v="Debit Card"/>
    <x v="0"/>
  </r>
  <r>
    <x v="151"/>
    <x v="119"/>
    <s v="Daniel Johnson"/>
    <x v="4"/>
    <s v="Africa"/>
    <x v="3"/>
    <x v="1"/>
    <n v="1"/>
    <n v="884.15"/>
    <n v="0.1"/>
    <n v="795.74"/>
    <n v="600"/>
    <n v="195.74"/>
    <s v="Bank Transfer"/>
    <x v="1"/>
  </r>
  <r>
    <x v="152"/>
    <x v="120"/>
    <s v="Emma Wilson"/>
    <x v="5"/>
    <s v="Europe"/>
    <x v="3"/>
    <x v="1"/>
    <n v="6"/>
    <n v="888.31"/>
    <n v="0"/>
    <n v="5329.86"/>
    <n v="3600"/>
    <n v="1729.86"/>
    <s v="Bank Transfer"/>
    <x v="1"/>
  </r>
  <r>
    <x v="153"/>
    <x v="121"/>
    <s v="Olivia Moore"/>
    <x v="7"/>
    <s v="North America"/>
    <x v="5"/>
    <x v="1"/>
    <n v="3"/>
    <n v="73.2"/>
    <n v="0.1"/>
    <n v="197.64"/>
    <n v="120"/>
    <n v="77.64"/>
    <s v="Bank Transfer"/>
    <x v="2"/>
  </r>
  <r>
    <x v="154"/>
    <x v="25"/>
    <s v="Riley Young"/>
    <x v="5"/>
    <s v="Europe"/>
    <x v="1"/>
    <x v="0"/>
    <n v="1"/>
    <n v="182.75"/>
    <n v="0"/>
    <n v="182.75"/>
    <n v="110"/>
    <n v="72.75"/>
    <s v="Debit Card"/>
    <x v="1"/>
  </r>
  <r>
    <x v="155"/>
    <x v="105"/>
    <s v="Taylor Davis"/>
    <x v="5"/>
    <s v="Europe"/>
    <x v="0"/>
    <x v="0"/>
    <n v="1"/>
    <n v="294.17"/>
    <n v="0"/>
    <n v="294.17"/>
    <n v="170"/>
    <n v="124.17"/>
    <s v="Bank Transfer"/>
    <x v="1"/>
  </r>
  <r>
    <x v="156"/>
    <x v="122"/>
    <s v="Liam Moore"/>
    <x v="3"/>
    <s v="Oceania"/>
    <x v="3"/>
    <x v="1"/>
    <n v="3"/>
    <n v="869.2"/>
    <n v="0"/>
    <n v="2607.6"/>
    <n v="1800"/>
    <n v="807.6"/>
    <s v="Credit Card"/>
    <x v="2"/>
  </r>
  <r>
    <x v="157"/>
    <x v="100"/>
    <s v="Ethan Hall"/>
    <x v="7"/>
    <s v="North America"/>
    <x v="1"/>
    <x v="0"/>
    <n v="2"/>
    <n v="184.19"/>
    <n v="0.2"/>
    <n v="294.7"/>
    <n v="220"/>
    <n v="74.7"/>
    <s v="Debit Card"/>
    <x v="1"/>
  </r>
  <r>
    <x v="158"/>
    <x v="85"/>
    <s v="Cameron Thomas"/>
    <x v="2"/>
    <s v="Africa"/>
    <x v="1"/>
    <x v="0"/>
    <n v="3"/>
    <n v="204.03"/>
    <n v="0.1"/>
    <n v="550.88"/>
    <n v="330"/>
    <n v="220.88"/>
    <s v="Bank Transfer"/>
    <x v="2"/>
  </r>
  <r>
    <x v="159"/>
    <x v="123"/>
    <s v="Daniel Smith"/>
    <x v="6"/>
    <s v="North America"/>
    <x v="5"/>
    <x v="1"/>
    <n v="6"/>
    <n v="76.11"/>
    <n v="0"/>
    <n v="456.66"/>
    <n v="240"/>
    <n v="216.66"/>
    <s v="Debit Card"/>
    <x v="1"/>
  </r>
  <r>
    <x v="160"/>
    <x v="124"/>
    <s v="Daniel Martin"/>
    <x v="7"/>
    <s v="North America"/>
    <x v="3"/>
    <x v="1"/>
    <n v="1"/>
    <n v="811.17"/>
    <n v="0"/>
    <n v="811.17"/>
    <n v="600"/>
    <n v="211.17"/>
    <s v="Debit Card"/>
    <x v="1"/>
  </r>
  <r>
    <x v="161"/>
    <x v="98"/>
    <s v="Chris Smith"/>
    <x v="7"/>
    <s v="North America"/>
    <x v="6"/>
    <x v="0"/>
    <n v="3"/>
    <n v="310.49"/>
    <n v="0.1"/>
    <n v="838.32"/>
    <n v="600"/>
    <n v="238.32"/>
    <s v="PayPal"/>
    <x v="1"/>
  </r>
  <r>
    <x v="162"/>
    <x v="125"/>
    <s v="Ethan Lewis"/>
    <x v="2"/>
    <s v="Africa"/>
    <x v="3"/>
    <x v="1"/>
    <n v="5"/>
    <n v="867.31"/>
    <n v="0"/>
    <n v="4336.55"/>
    <n v="3000"/>
    <n v="1336.55"/>
    <s v="PayPal"/>
    <x v="2"/>
  </r>
  <r>
    <x v="163"/>
    <x v="126"/>
    <s v="Liam Davis"/>
    <x v="0"/>
    <s v="Europe"/>
    <x v="6"/>
    <x v="0"/>
    <n v="3"/>
    <n v="336.67"/>
    <n v="0.05"/>
    <n v="959.51"/>
    <n v="600"/>
    <n v="359.51"/>
    <s v="Debit Card"/>
    <x v="2"/>
  </r>
  <r>
    <x v="164"/>
    <x v="112"/>
    <s v="Chris Anderson"/>
    <x v="3"/>
    <s v="Oceania"/>
    <x v="3"/>
    <x v="1"/>
    <n v="1"/>
    <n v="887.59"/>
    <n v="0"/>
    <n v="887.59"/>
    <n v="600"/>
    <n v="287.58999999999997"/>
    <s v="Bank Transfer"/>
    <x v="1"/>
  </r>
  <r>
    <x v="165"/>
    <x v="127"/>
    <s v="Sophia Lewis"/>
    <x v="7"/>
    <s v="North America"/>
    <x v="2"/>
    <x v="1"/>
    <n v="6"/>
    <n v="116.84"/>
    <n v="0"/>
    <n v="701.04"/>
    <n v="360"/>
    <n v="341.04"/>
    <s v="Debit Card"/>
    <x v="2"/>
  </r>
  <r>
    <x v="166"/>
    <x v="74"/>
    <s v="Sophia Brown"/>
    <x v="4"/>
    <s v="Africa"/>
    <x v="1"/>
    <x v="0"/>
    <n v="2"/>
    <n v="182.51"/>
    <n v="0.05"/>
    <n v="346.77"/>
    <n v="220"/>
    <n v="126.77"/>
    <s v="Credit Card"/>
    <x v="1"/>
  </r>
  <r>
    <x v="167"/>
    <x v="128"/>
    <s v="Daniel Wilson"/>
    <x v="6"/>
    <s v="North America"/>
    <x v="4"/>
    <x v="1"/>
    <n v="2"/>
    <n v="250.69"/>
    <n v="0.1"/>
    <n v="451.24"/>
    <n v="300"/>
    <n v="151.24"/>
    <s v="Credit Card"/>
    <x v="1"/>
  </r>
  <r>
    <x v="168"/>
    <x v="53"/>
    <s v="Jordan Davis"/>
    <x v="0"/>
    <s v="Europe"/>
    <x v="1"/>
    <x v="0"/>
    <n v="2"/>
    <n v="195.03"/>
    <n v="0.05"/>
    <n v="370.56"/>
    <n v="220"/>
    <n v="150.56"/>
    <s v="PayPal"/>
    <x v="0"/>
  </r>
  <r>
    <x v="169"/>
    <x v="129"/>
    <s v="Taylor Walker"/>
    <x v="3"/>
    <s v="Oceania"/>
    <x v="7"/>
    <x v="1"/>
    <n v="6"/>
    <n v="418.61"/>
    <n v="0"/>
    <n v="2511.66"/>
    <n v="1680"/>
    <n v="831.66"/>
    <s v="Debit Card"/>
    <x v="0"/>
  </r>
  <r>
    <x v="170"/>
    <x v="130"/>
    <s v="Chris Hall"/>
    <x v="5"/>
    <s v="Europe"/>
    <x v="7"/>
    <x v="1"/>
    <n v="3"/>
    <n v="408.81"/>
    <n v="0.15"/>
    <n v="1042.47"/>
    <n v="840"/>
    <n v="202.47"/>
    <s v="PayPal"/>
    <x v="1"/>
  </r>
  <r>
    <x v="171"/>
    <x v="131"/>
    <s v="Noah Thomas"/>
    <x v="2"/>
    <s v="Africa"/>
    <x v="0"/>
    <x v="0"/>
    <n v="2"/>
    <n v="275.73"/>
    <n v="0"/>
    <n v="551.46"/>
    <n v="340"/>
    <n v="211.46"/>
    <s v="Debit Card"/>
    <x v="2"/>
  </r>
  <r>
    <x v="172"/>
    <x v="13"/>
    <s v="Casey Wilson"/>
    <x v="2"/>
    <s v="Africa"/>
    <x v="3"/>
    <x v="1"/>
    <n v="2"/>
    <n v="836.02"/>
    <n v="0.15"/>
    <n v="1421.23"/>
    <n v="1200"/>
    <n v="221.23"/>
    <s v="Credit Card"/>
    <x v="2"/>
  </r>
  <r>
    <x v="173"/>
    <x v="132"/>
    <s v="Noah Martin"/>
    <x v="4"/>
    <s v="Africa"/>
    <x v="4"/>
    <x v="1"/>
    <n v="2"/>
    <n v="230.29"/>
    <n v="0"/>
    <n v="460.58"/>
    <n v="300"/>
    <n v="160.58000000000001"/>
    <s v="Debit Card"/>
    <x v="2"/>
  </r>
  <r>
    <x v="174"/>
    <x v="90"/>
    <s v="Daniel Lewis"/>
    <x v="6"/>
    <s v="North America"/>
    <x v="0"/>
    <x v="0"/>
    <n v="1"/>
    <n v="286.52"/>
    <n v="0.05"/>
    <n v="272.19"/>
    <n v="170"/>
    <n v="102.19"/>
    <s v="Credit Card"/>
    <x v="2"/>
  </r>
  <r>
    <x v="175"/>
    <x v="133"/>
    <s v="Emma Taylor"/>
    <x v="4"/>
    <s v="Africa"/>
    <x v="3"/>
    <x v="1"/>
    <n v="4"/>
    <n v="872.18"/>
    <n v="0.1"/>
    <n v="3139.85"/>
    <n v="2400"/>
    <n v="739.85"/>
    <s v="Credit Card"/>
    <x v="1"/>
  </r>
  <r>
    <x v="176"/>
    <x v="134"/>
    <s v="Taylor Taylor"/>
    <x v="7"/>
    <s v="North America"/>
    <x v="3"/>
    <x v="1"/>
    <n v="2"/>
    <n v="811.85"/>
    <n v="0.15"/>
    <n v="1380.14"/>
    <n v="1200"/>
    <n v="180.14"/>
    <s v="Credit Card"/>
    <x v="1"/>
  </r>
  <r>
    <x v="177"/>
    <x v="29"/>
    <s v="Sam Hall"/>
    <x v="6"/>
    <s v="North America"/>
    <x v="2"/>
    <x v="1"/>
    <n v="1"/>
    <n v="129.38999999999999"/>
    <n v="0"/>
    <n v="129.38999999999999"/>
    <n v="60"/>
    <n v="69.39"/>
    <s v="PayPal"/>
    <x v="2"/>
  </r>
  <r>
    <x v="178"/>
    <x v="135"/>
    <s v="Jamie Davis"/>
    <x v="3"/>
    <s v="Oceania"/>
    <x v="4"/>
    <x v="1"/>
    <n v="1"/>
    <n v="238.69"/>
    <n v="0.05"/>
    <n v="226.76"/>
    <n v="150"/>
    <n v="76.760000000000005"/>
    <s v="Credit Card"/>
    <x v="1"/>
  </r>
  <r>
    <x v="179"/>
    <x v="62"/>
    <s v="Alex Anderson"/>
    <x v="1"/>
    <s v="Asia"/>
    <x v="7"/>
    <x v="1"/>
    <n v="1"/>
    <n v="451.96"/>
    <n v="0.05"/>
    <n v="429.36"/>
    <n v="280"/>
    <n v="149.36000000000001"/>
    <s v="Bank Transfer"/>
    <x v="1"/>
  </r>
  <r>
    <x v="180"/>
    <x v="66"/>
    <s v="Sam Martin"/>
    <x v="3"/>
    <s v="Oceania"/>
    <x v="6"/>
    <x v="0"/>
    <n v="1"/>
    <n v="350.1"/>
    <n v="0.05"/>
    <n v="332.6"/>
    <n v="200"/>
    <n v="132.6"/>
    <s v="Credit Card"/>
    <x v="1"/>
  </r>
  <r>
    <x v="181"/>
    <x v="136"/>
    <s v="Noah Davis"/>
    <x v="1"/>
    <s v="Asia"/>
    <x v="4"/>
    <x v="1"/>
    <n v="3"/>
    <n v="257.05"/>
    <n v="0"/>
    <n v="771.15"/>
    <n v="450"/>
    <n v="321.14999999999998"/>
    <s v="Bank Transfer"/>
    <x v="1"/>
  </r>
  <r>
    <x v="182"/>
    <x v="137"/>
    <s v="Ethan Taylor"/>
    <x v="4"/>
    <s v="Africa"/>
    <x v="1"/>
    <x v="0"/>
    <n v="3"/>
    <n v="196.75"/>
    <n v="0"/>
    <n v="590.25"/>
    <n v="330"/>
    <n v="260.25"/>
    <s v="Credit Card"/>
    <x v="0"/>
  </r>
  <r>
    <x v="183"/>
    <x v="138"/>
    <s v="Morgan Johnson"/>
    <x v="1"/>
    <s v="Asia"/>
    <x v="0"/>
    <x v="0"/>
    <n v="4"/>
    <n v="287.64999999999998"/>
    <n v="0.05"/>
    <n v="1093.07"/>
    <n v="680"/>
    <n v="413.07"/>
    <s v="Debit Card"/>
    <x v="1"/>
  </r>
  <r>
    <x v="184"/>
    <x v="139"/>
    <s v="Mia Clark"/>
    <x v="5"/>
    <s v="Europe"/>
    <x v="6"/>
    <x v="0"/>
    <n v="5"/>
    <n v="322.14999999999998"/>
    <n v="0.1"/>
    <n v="1449.68"/>
    <n v="1000"/>
    <n v="449.68"/>
    <s v="Credit Card"/>
    <x v="1"/>
  </r>
  <r>
    <x v="185"/>
    <x v="138"/>
    <s v="Sophia Lewis"/>
    <x v="4"/>
    <s v="Africa"/>
    <x v="4"/>
    <x v="1"/>
    <n v="3"/>
    <n v="245.58"/>
    <n v="0.05"/>
    <n v="699.9"/>
    <n v="450"/>
    <n v="249.9"/>
    <s v="Debit Card"/>
    <x v="2"/>
  </r>
  <r>
    <x v="186"/>
    <x v="140"/>
    <s v="Noah Hall"/>
    <x v="6"/>
    <s v="North America"/>
    <x v="2"/>
    <x v="1"/>
    <n v="1"/>
    <n v="123.41"/>
    <n v="0"/>
    <n v="123.41"/>
    <n v="60"/>
    <n v="63.41"/>
    <s v="Debit Card"/>
    <x v="1"/>
  </r>
  <r>
    <x v="187"/>
    <x v="112"/>
    <s v="Chris Wilson"/>
    <x v="4"/>
    <s v="Africa"/>
    <x v="7"/>
    <x v="1"/>
    <n v="6"/>
    <n v="448.92"/>
    <n v="0.1"/>
    <n v="2424.17"/>
    <n v="1680"/>
    <n v="744.17"/>
    <s v="Debit Card"/>
    <x v="2"/>
  </r>
  <r>
    <x v="188"/>
    <x v="141"/>
    <s v="Chris Clark"/>
    <x v="0"/>
    <s v="Europe"/>
    <x v="4"/>
    <x v="1"/>
    <n v="2"/>
    <n v="251.3"/>
    <n v="0.05"/>
    <n v="477.47"/>
    <n v="300"/>
    <n v="177.47"/>
    <s v="Debit Card"/>
    <x v="0"/>
  </r>
  <r>
    <x v="189"/>
    <x v="142"/>
    <s v="Sam Brown"/>
    <x v="3"/>
    <s v="Oceania"/>
    <x v="1"/>
    <x v="0"/>
    <n v="3"/>
    <n v="186.51"/>
    <n v="0.15"/>
    <n v="475.6"/>
    <n v="330"/>
    <n v="145.6"/>
    <s v="Credit Card"/>
    <x v="0"/>
  </r>
  <r>
    <x v="190"/>
    <x v="36"/>
    <s v="Emma Lewis"/>
    <x v="7"/>
    <s v="North America"/>
    <x v="6"/>
    <x v="0"/>
    <n v="2"/>
    <n v="320.79000000000002"/>
    <n v="0"/>
    <n v="641.58000000000004"/>
    <n v="400"/>
    <n v="241.58"/>
    <s v="Debit Card"/>
    <x v="1"/>
  </r>
  <r>
    <x v="191"/>
    <x v="143"/>
    <s v="Sam Anderson"/>
    <x v="7"/>
    <s v="North America"/>
    <x v="7"/>
    <x v="1"/>
    <n v="1"/>
    <n v="405.65"/>
    <n v="0"/>
    <n v="405.65"/>
    <n v="280"/>
    <n v="125.65"/>
    <s v="Bank Transfer"/>
    <x v="1"/>
  </r>
  <r>
    <x v="192"/>
    <x v="144"/>
    <s v="Morgan Davis"/>
    <x v="3"/>
    <s v="Oceania"/>
    <x v="4"/>
    <x v="1"/>
    <n v="1"/>
    <n v="236"/>
    <n v="0.05"/>
    <n v="224.2"/>
    <n v="150"/>
    <n v="74.2"/>
    <s v="Debit Card"/>
    <x v="0"/>
  </r>
  <r>
    <x v="193"/>
    <x v="103"/>
    <s v="Cameron Martin"/>
    <x v="1"/>
    <s v="Asia"/>
    <x v="0"/>
    <x v="0"/>
    <n v="3"/>
    <n v="282.76"/>
    <n v="0.15"/>
    <n v="721.04"/>
    <n v="510"/>
    <n v="211.04"/>
    <s v="Credit Card"/>
    <x v="2"/>
  </r>
  <r>
    <x v="194"/>
    <x v="145"/>
    <s v="Casey Davis"/>
    <x v="4"/>
    <s v="Africa"/>
    <x v="7"/>
    <x v="1"/>
    <n v="5"/>
    <n v="411.93"/>
    <n v="0"/>
    <n v="2059.65"/>
    <n v="1400"/>
    <n v="659.65"/>
    <s v="Credit Card"/>
    <x v="0"/>
  </r>
  <r>
    <x v="195"/>
    <x v="146"/>
    <s v="Ethan Wilson"/>
    <x v="3"/>
    <s v="Oceania"/>
    <x v="7"/>
    <x v="1"/>
    <n v="4"/>
    <n v="407.17"/>
    <n v="0.1"/>
    <n v="1465.81"/>
    <n v="1120"/>
    <n v="345.81"/>
    <s v="Credit Card"/>
    <x v="2"/>
  </r>
  <r>
    <x v="196"/>
    <x v="147"/>
    <s v="Taylor Lewis"/>
    <x v="6"/>
    <s v="North America"/>
    <x v="4"/>
    <x v="1"/>
    <n v="2"/>
    <n v="237.74"/>
    <n v="0"/>
    <n v="475.48"/>
    <n v="300"/>
    <n v="175.48"/>
    <s v="Credit Card"/>
    <x v="2"/>
  </r>
  <r>
    <x v="197"/>
    <x v="67"/>
    <s v="Avery Wilson"/>
    <x v="4"/>
    <s v="Africa"/>
    <x v="0"/>
    <x v="0"/>
    <n v="1"/>
    <n v="271.06"/>
    <n v="0"/>
    <n v="271.06"/>
    <n v="170"/>
    <n v="101.06"/>
    <s v="Bank Transfer"/>
    <x v="1"/>
  </r>
  <r>
    <x v="198"/>
    <x v="148"/>
    <s v="Sophia Davis"/>
    <x v="3"/>
    <s v="Oceania"/>
    <x v="3"/>
    <x v="1"/>
    <n v="3"/>
    <n v="821.69"/>
    <n v="0.2"/>
    <n v="1972.06"/>
    <n v="1800"/>
    <n v="172.06"/>
    <s v="Bank Transfer"/>
    <x v="2"/>
  </r>
  <r>
    <x v="199"/>
    <x v="149"/>
    <s v="Cameron Thomas"/>
    <x v="4"/>
    <s v="Africa"/>
    <x v="6"/>
    <x v="0"/>
    <n v="1"/>
    <n v="333.92"/>
    <n v="0.05"/>
    <n v="317.22000000000003"/>
    <n v="200"/>
    <n v="117.22"/>
    <s v="Credit Card"/>
    <x v="1"/>
  </r>
  <r>
    <x v="200"/>
    <x v="150"/>
    <s v="Riley Taylor"/>
    <x v="4"/>
    <s v="Africa"/>
    <x v="3"/>
    <x v="1"/>
    <n v="4"/>
    <n v="815.23"/>
    <n v="0.05"/>
    <n v="3097.87"/>
    <n v="2400"/>
    <n v="697.87"/>
    <s v="Debit Card"/>
    <x v="2"/>
  </r>
  <r>
    <x v="201"/>
    <x v="141"/>
    <s v="Jordan Taylor"/>
    <x v="4"/>
    <s v="Africa"/>
    <x v="7"/>
    <x v="1"/>
    <n v="2"/>
    <n v="453.28"/>
    <n v="0.05"/>
    <n v="861.23"/>
    <n v="560"/>
    <n v="301.23"/>
    <s v="Debit Card"/>
    <x v="2"/>
  </r>
  <r>
    <x v="202"/>
    <x v="151"/>
    <s v="Emma Moore"/>
    <x v="0"/>
    <s v="Europe"/>
    <x v="1"/>
    <x v="0"/>
    <n v="3"/>
    <n v="204.25"/>
    <n v="0"/>
    <n v="612.75"/>
    <n v="330"/>
    <n v="282.75"/>
    <s v="Credit Card"/>
    <x v="1"/>
  </r>
  <r>
    <x v="203"/>
    <x v="143"/>
    <s v="Daniel Brown"/>
    <x v="6"/>
    <s v="North America"/>
    <x v="4"/>
    <x v="1"/>
    <n v="4"/>
    <n v="248.75"/>
    <n v="0"/>
    <n v="995"/>
    <n v="600"/>
    <n v="395"/>
    <s v="PayPal"/>
    <x v="1"/>
  </r>
  <r>
    <x v="204"/>
    <x v="152"/>
    <s v="Alex Moore"/>
    <x v="5"/>
    <s v="Europe"/>
    <x v="1"/>
    <x v="0"/>
    <n v="1"/>
    <n v="199.48"/>
    <n v="0.1"/>
    <n v="179.53"/>
    <n v="110"/>
    <n v="69.53"/>
    <s v="Bank Transfer"/>
    <x v="1"/>
  </r>
  <r>
    <x v="205"/>
    <x v="13"/>
    <s v="Noah Davis"/>
    <x v="1"/>
    <s v="Asia"/>
    <x v="3"/>
    <x v="1"/>
    <n v="3"/>
    <n v="825.1"/>
    <n v="0.05"/>
    <n v="2351.54"/>
    <n v="1800"/>
    <n v="551.54"/>
    <s v="Credit Card"/>
    <x v="1"/>
  </r>
  <r>
    <x v="206"/>
    <x v="61"/>
    <s v="Taylor Davis"/>
    <x v="6"/>
    <s v="North America"/>
    <x v="0"/>
    <x v="0"/>
    <n v="2"/>
    <n v="279.47000000000003"/>
    <n v="0"/>
    <n v="558.94000000000005"/>
    <n v="340"/>
    <n v="218.94"/>
    <s v="Credit Card"/>
    <x v="0"/>
  </r>
  <r>
    <x v="207"/>
    <x v="57"/>
    <s v="Daniel Martin"/>
    <x v="2"/>
    <s v="Africa"/>
    <x v="2"/>
    <x v="1"/>
    <n v="4"/>
    <n v="122.84"/>
    <n v="0.05"/>
    <n v="466.79"/>
    <n v="240"/>
    <n v="226.79"/>
    <s v="Debit Card"/>
    <x v="1"/>
  </r>
  <r>
    <x v="208"/>
    <x v="153"/>
    <s v="Jamie Brown"/>
    <x v="7"/>
    <s v="North America"/>
    <x v="0"/>
    <x v="0"/>
    <n v="2"/>
    <n v="292.27999999999997"/>
    <n v="0.1"/>
    <n v="526.1"/>
    <n v="340"/>
    <n v="186.1"/>
    <s v="Bank Transfer"/>
    <x v="1"/>
  </r>
  <r>
    <x v="209"/>
    <x v="154"/>
    <s v="Noah Davis"/>
    <x v="3"/>
    <s v="Oceania"/>
    <x v="0"/>
    <x v="0"/>
    <n v="1"/>
    <n v="269.24"/>
    <n v="0"/>
    <n v="269.24"/>
    <n v="170"/>
    <n v="99.24"/>
    <s v="Debit Card"/>
    <x v="0"/>
  </r>
  <r>
    <x v="210"/>
    <x v="155"/>
    <s v="Liam Taylor"/>
    <x v="4"/>
    <s v="Africa"/>
    <x v="6"/>
    <x v="0"/>
    <n v="2"/>
    <n v="314.63"/>
    <n v="0.05"/>
    <n v="597.79999999999995"/>
    <n v="400"/>
    <n v="197.8"/>
    <s v="Bank Transfer"/>
    <x v="1"/>
  </r>
  <r>
    <x v="211"/>
    <x v="114"/>
    <s v="Emma Davis"/>
    <x v="4"/>
    <s v="Africa"/>
    <x v="0"/>
    <x v="0"/>
    <n v="1"/>
    <n v="279.33999999999997"/>
    <n v="0.05"/>
    <n v="265.37"/>
    <n v="170"/>
    <n v="95.37"/>
    <s v="Credit Card"/>
    <x v="2"/>
  </r>
  <r>
    <x v="212"/>
    <x v="156"/>
    <s v="Jamie Walker"/>
    <x v="1"/>
    <s v="Asia"/>
    <x v="5"/>
    <x v="1"/>
    <n v="2"/>
    <n v="75.540000000000006"/>
    <n v="0.05"/>
    <n v="143.53"/>
    <n v="80"/>
    <n v="63.53"/>
    <s v="Credit Card"/>
    <x v="2"/>
  </r>
  <r>
    <x v="213"/>
    <x v="157"/>
    <s v="Jordan Hall"/>
    <x v="5"/>
    <s v="Europe"/>
    <x v="4"/>
    <x v="1"/>
    <n v="1"/>
    <n v="242.35"/>
    <n v="0.1"/>
    <n v="218.12"/>
    <n v="150"/>
    <n v="68.12"/>
    <s v="PayPal"/>
    <x v="1"/>
  </r>
  <r>
    <x v="214"/>
    <x v="158"/>
    <s v="Noah Brown"/>
    <x v="3"/>
    <s v="Oceania"/>
    <x v="3"/>
    <x v="1"/>
    <n v="2"/>
    <n v="815.75"/>
    <n v="0"/>
    <n v="1631.5"/>
    <n v="1200"/>
    <n v="431.5"/>
    <s v="Credit Card"/>
    <x v="2"/>
  </r>
  <r>
    <x v="215"/>
    <x v="159"/>
    <s v="Daniel Walker"/>
    <x v="0"/>
    <s v="Europe"/>
    <x v="5"/>
    <x v="1"/>
    <n v="6"/>
    <n v="77.25"/>
    <n v="0.1"/>
    <n v="417.15"/>
    <n v="240"/>
    <n v="177.15"/>
    <s v="Debit Card"/>
    <x v="1"/>
  </r>
  <r>
    <x v="216"/>
    <x v="13"/>
    <s v="Taylor Anderson"/>
    <x v="7"/>
    <s v="North America"/>
    <x v="4"/>
    <x v="1"/>
    <n v="4"/>
    <n v="248.41"/>
    <n v="0"/>
    <n v="993.64"/>
    <n v="600"/>
    <n v="393.64"/>
    <s v="Debit Card"/>
    <x v="1"/>
  </r>
  <r>
    <x v="217"/>
    <x v="75"/>
    <s v="Jamie Young"/>
    <x v="4"/>
    <s v="Africa"/>
    <x v="6"/>
    <x v="0"/>
    <n v="6"/>
    <n v="314.39999999999998"/>
    <n v="0"/>
    <n v="1886.4"/>
    <n v="1200"/>
    <n v="686.4"/>
    <s v="Debit Card"/>
    <x v="2"/>
  </r>
  <r>
    <x v="218"/>
    <x v="160"/>
    <s v="Casey Walker"/>
    <x v="4"/>
    <s v="Africa"/>
    <x v="0"/>
    <x v="0"/>
    <n v="4"/>
    <n v="268.36"/>
    <n v="0.05"/>
    <n v="1019.77"/>
    <n v="680"/>
    <n v="339.77"/>
    <s v="Credit Card"/>
    <x v="1"/>
  </r>
  <r>
    <x v="219"/>
    <x v="8"/>
    <s v="Morgan Johnson"/>
    <x v="5"/>
    <s v="Europe"/>
    <x v="4"/>
    <x v="1"/>
    <n v="2"/>
    <n v="232.66"/>
    <n v="0"/>
    <n v="465.32"/>
    <n v="300"/>
    <n v="165.32"/>
    <s v="Credit Card"/>
    <x v="2"/>
  </r>
  <r>
    <x v="220"/>
    <x v="161"/>
    <s v="Drew Walker"/>
    <x v="5"/>
    <s v="Europe"/>
    <x v="3"/>
    <x v="1"/>
    <n v="3"/>
    <n v="850.86"/>
    <n v="0.1"/>
    <n v="2297.3200000000002"/>
    <n v="1800"/>
    <n v="497.32"/>
    <s v="Credit Card"/>
    <x v="1"/>
  </r>
  <r>
    <x v="221"/>
    <x v="162"/>
    <s v="Drew Johnson"/>
    <x v="6"/>
    <s v="North America"/>
    <x v="3"/>
    <x v="1"/>
    <n v="3"/>
    <n v="835.64"/>
    <n v="0"/>
    <n v="2506.92"/>
    <n v="1800"/>
    <n v="706.92"/>
    <s v="Credit Card"/>
    <x v="0"/>
  </r>
  <r>
    <x v="222"/>
    <x v="163"/>
    <s v="Olivia Young"/>
    <x v="0"/>
    <s v="Europe"/>
    <x v="2"/>
    <x v="1"/>
    <n v="2"/>
    <n v="121.02"/>
    <n v="0"/>
    <n v="242.04"/>
    <n v="120"/>
    <n v="122.04"/>
    <s v="PayPal"/>
    <x v="1"/>
  </r>
  <r>
    <x v="223"/>
    <x v="32"/>
    <s v="Mia Thomas"/>
    <x v="5"/>
    <s v="Europe"/>
    <x v="0"/>
    <x v="0"/>
    <n v="3"/>
    <n v="285.57"/>
    <n v="0.05"/>
    <n v="813.87"/>
    <n v="510"/>
    <n v="303.87"/>
    <s v="Credit Card"/>
    <x v="2"/>
  </r>
  <r>
    <x v="224"/>
    <x v="164"/>
    <s v="Riley Martin"/>
    <x v="5"/>
    <s v="Europe"/>
    <x v="1"/>
    <x v="0"/>
    <n v="1"/>
    <n v="193.06"/>
    <n v="0"/>
    <n v="193.06"/>
    <n v="110"/>
    <n v="83.06"/>
    <s v="Debit Card"/>
    <x v="0"/>
  </r>
  <r>
    <x v="225"/>
    <x v="165"/>
    <s v="Riley Martin"/>
    <x v="3"/>
    <s v="Oceania"/>
    <x v="2"/>
    <x v="1"/>
    <n v="1"/>
    <n v="115.53"/>
    <n v="0"/>
    <n v="115.53"/>
    <n v="60"/>
    <n v="55.53"/>
    <s v="Credit Card"/>
    <x v="1"/>
  </r>
  <r>
    <x v="226"/>
    <x v="39"/>
    <s v="Emma Johnson"/>
    <x v="6"/>
    <s v="North America"/>
    <x v="4"/>
    <x v="1"/>
    <n v="4"/>
    <n v="258.45"/>
    <n v="0"/>
    <n v="1033.8"/>
    <n v="600"/>
    <n v="433.8"/>
    <s v="Credit Card"/>
    <x v="1"/>
  </r>
  <r>
    <x v="227"/>
    <x v="19"/>
    <s v="Ethan Martin"/>
    <x v="2"/>
    <s v="Africa"/>
    <x v="3"/>
    <x v="1"/>
    <n v="3"/>
    <n v="812.14"/>
    <n v="0.05"/>
    <n v="2314.6"/>
    <n v="1800"/>
    <n v="514.6"/>
    <s v="Bank Transfer"/>
    <x v="1"/>
  </r>
  <r>
    <x v="228"/>
    <x v="166"/>
    <s v="Jordan Clark"/>
    <x v="2"/>
    <s v="Africa"/>
    <x v="0"/>
    <x v="0"/>
    <n v="3"/>
    <n v="290.27"/>
    <n v="0.1"/>
    <n v="783.73"/>
    <n v="510"/>
    <n v="273.73"/>
    <s v="Credit Card"/>
    <x v="1"/>
  </r>
  <r>
    <x v="229"/>
    <x v="167"/>
    <s v="Ethan Taylor"/>
    <x v="6"/>
    <s v="North America"/>
    <x v="3"/>
    <x v="1"/>
    <n v="2"/>
    <n v="850.45"/>
    <n v="0.05"/>
    <n v="1615.86"/>
    <n v="1200"/>
    <n v="415.86"/>
    <s v="Credit Card"/>
    <x v="0"/>
  </r>
  <r>
    <x v="230"/>
    <x v="103"/>
    <s v="Avery Smith"/>
    <x v="1"/>
    <s v="Asia"/>
    <x v="2"/>
    <x v="1"/>
    <n v="5"/>
    <n v="118.46"/>
    <n v="0.05"/>
    <n v="562.67999999999995"/>
    <n v="300"/>
    <n v="262.68"/>
    <s v="Credit Card"/>
    <x v="1"/>
  </r>
  <r>
    <x v="231"/>
    <x v="168"/>
    <s v="Avery Anderson"/>
    <x v="4"/>
    <s v="Africa"/>
    <x v="6"/>
    <x v="0"/>
    <n v="2"/>
    <n v="339.53"/>
    <n v="0.1"/>
    <n v="611.15"/>
    <n v="400"/>
    <n v="211.15"/>
    <s v="Bank Transfer"/>
    <x v="1"/>
  </r>
  <r>
    <x v="232"/>
    <x v="169"/>
    <s v="Jordan Walker"/>
    <x v="2"/>
    <s v="Africa"/>
    <x v="2"/>
    <x v="1"/>
    <n v="1"/>
    <n v="125.36"/>
    <n v="0.05"/>
    <n v="119.09"/>
    <n v="60"/>
    <n v="59.09"/>
    <s v="Bank Transfer"/>
    <x v="1"/>
  </r>
  <r>
    <x v="233"/>
    <x v="170"/>
    <s v="Sam Wilson"/>
    <x v="3"/>
    <s v="Oceania"/>
    <x v="4"/>
    <x v="1"/>
    <n v="2"/>
    <n v="250.86"/>
    <n v="0.1"/>
    <n v="451.55"/>
    <n v="300"/>
    <n v="151.55000000000001"/>
    <s v="Debit Card"/>
    <x v="1"/>
  </r>
  <r>
    <x v="234"/>
    <x v="171"/>
    <s v="Casey Young"/>
    <x v="2"/>
    <s v="Africa"/>
    <x v="2"/>
    <x v="1"/>
    <n v="1"/>
    <n v="123"/>
    <n v="0"/>
    <n v="123"/>
    <n v="60"/>
    <n v="63"/>
    <s v="Credit Card"/>
    <x v="2"/>
  </r>
  <r>
    <x v="235"/>
    <x v="172"/>
    <s v="Drew Johnson"/>
    <x v="6"/>
    <s v="North America"/>
    <x v="5"/>
    <x v="1"/>
    <n v="3"/>
    <n v="72.22"/>
    <n v="0.2"/>
    <n v="173.33"/>
    <n v="120"/>
    <n v="53.33"/>
    <s v="Credit Card"/>
    <x v="2"/>
  </r>
  <r>
    <x v="236"/>
    <x v="173"/>
    <s v="Daniel Davis"/>
    <x v="3"/>
    <s v="Oceania"/>
    <x v="2"/>
    <x v="1"/>
    <n v="1"/>
    <n v="126.23"/>
    <n v="0"/>
    <n v="126.23"/>
    <n v="60"/>
    <n v="66.23"/>
    <s v="Credit Card"/>
    <x v="2"/>
  </r>
  <r>
    <x v="237"/>
    <x v="18"/>
    <s v="Daniel Clark"/>
    <x v="0"/>
    <s v="Europe"/>
    <x v="3"/>
    <x v="1"/>
    <n v="1"/>
    <n v="891.33"/>
    <n v="0.1"/>
    <n v="802.2"/>
    <n v="600"/>
    <n v="202.2"/>
    <s v="Bank Transfer"/>
    <x v="0"/>
  </r>
  <r>
    <x v="238"/>
    <x v="174"/>
    <s v="Daniel Martin"/>
    <x v="1"/>
    <s v="Asia"/>
    <x v="2"/>
    <x v="1"/>
    <n v="6"/>
    <n v="121"/>
    <n v="0"/>
    <n v="726"/>
    <n v="360"/>
    <n v="366"/>
    <s v="PayPal"/>
    <x v="2"/>
  </r>
  <r>
    <x v="239"/>
    <x v="175"/>
    <s v="Noah Davis"/>
    <x v="2"/>
    <s v="Africa"/>
    <x v="0"/>
    <x v="0"/>
    <n v="1"/>
    <n v="262.29000000000002"/>
    <n v="0"/>
    <n v="262.29000000000002"/>
    <n v="170"/>
    <n v="92.29"/>
    <s v="Credit Card"/>
    <x v="1"/>
  </r>
  <r>
    <x v="240"/>
    <x v="106"/>
    <s v="Liam Martin"/>
    <x v="3"/>
    <s v="Oceania"/>
    <x v="4"/>
    <x v="1"/>
    <n v="2"/>
    <n v="230.02"/>
    <n v="0.05"/>
    <n v="437.04"/>
    <n v="300"/>
    <n v="137.04"/>
    <s v="Debit Card"/>
    <x v="2"/>
  </r>
  <r>
    <x v="241"/>
    <x v="176"/>
    <s v="Sophia Smith"/>
    <x v="1"/>
    <s v="Asia"/>
    <x v="7"/>
    <x v="1"/>
    <n v="3"/>
    <n v="400.25"/>
    <n v="0.05"/>
    <n v="1140.71"/>
    <n v="840"/>
    <n v="300.70999999999998"/>
    <s v="Bank Transfer"/>
    <x v="1"/>
  </r>
  <r>
    <x v="242"/>
    <x v="177"/>
    <s v="Sophia Walker"/>
    <x v="4"/>
    <s v="Africa"/>
    <x v="5"/>
    <x v="1"/>
    <n v="4"/>
    <n v="78.94"/>
    <n v="0.1"/>
    <n v="284.18"/>
    <n v="160"/>
    <n v="124.18"/>
    <s v="Credit Card"/>
    <x v="1"/>
  </r>
  <r>
    <x v="243"/>
    <x v="167"/>
    <s v="Emma Clark"/>
    <x v="6"/>
    <s v="North America"/>
    <x v="7"/>
    <x v="1"/>
    <n v="2"/>
    <n v="442.75"/>
    <n v="0"/>
    <n v="885.5"/>
    <n v="560"/>
    <n v="325.5"/>
    <s v="Bank Transfer"/>
    <x v="1"/>
  </r>
  <r>
    <x v="244"/>
    <x v="29"/>
    <s v="Jamie Young"/>
    <x v="6"/>
    <s v="North America"/>
    <x v="6"/>
    <x v="0"/>
    <n v="3"/>
    <n v="313.75"/>
    <n v="0.1"/>
    <n v="847.12"/>
    <n v="600"/>
    <n v="247.12"/>
    <s v="PayPal"/>
    <x v="1"/>
  </r>
  <r>
    <x v="245"/>
    <x v="16"/>
    <s v="Taylor Walker"/>
    <x v="7"/>
    <s v="North America"/>
    <x v="1"/>
    <x v="0"/>
    <n v="1"/>
    <n v="204.7"/>
    <n v="0.05"/>
    <n v="194.46"/>
    <n v="110"/>
    <n v="84.46"/>
    <s v="Bank Transfer"/>
    <x v="2"/>
  </r>
  <r>
    <x v="246"/>
    <x v="178"/>
    <s v="Drew Brown"/>
    <x v="4"/>
    <s v="Africa"/>
    <x v="6"/>
    <x v="0"/>
    <n v="2"/>
    <n v="348.49"/>
    <n v="0"/>
    <n v="696.98"/>
    <n v="400"/>
    <n v="296.98"/>
    <s v="Debit Card"/>
    <x v="0"/>
  </r>
  <r>
    <x v="247"/>
    <x v="179"/>
    <s v="Morgan Taylor"/>
    <x v="1"/>
    <s v="Asia"/>
    <x v="0"/>
    <x v="0"/>
    <n v="2"/>
    <n v="294.76"/>
    <n v="0"/>
    <n v="589.52"/>
    <n v="340"/>
    <n v="249.52"/>
    <s v="Bank Transfer"/>
    <x v="1"/>
  </r>
  <r>
    <x v="248"/>
    <x v="80"/>
    <s v="Noah Lewis"/>
    <x v="7"/>
    <s v="North America"/>
    <x v="2"/>
    <x v="1"/>
    <n v="2"/>
    <n v="125.94"/>
    <n v="0.1"/>
    <n v="226.69"/>
    <n v="120"/>
    <n v="106.69"/>
    <s v="Credit Card"/>
    <x v="1"/>
  </r>
  <r>
    <x v="249"/>
    <x v="180"/>
    <s v="Avery Brown"/>
    <x v="1"/>
    <s v="Asia"/>
    <x v="3"/>
    <x v="1"/>
    <n v="6"/>
    <n v="813.8"/>
    <n v="0"/>
    <n v="4882.8"/>
    <n v="3600"/>
    <n v="1282.8"/>
    <s v="Credit Card"/>
    <x v="2"/>
  </r>
  <r>
    <x v="250"/>
    <x v="181"/>
    <s v="Cameron Walker"/>
    <x v="1"/>
    <s v="Asia"/>
    <x v="6"/>
    <x v="0"/>
    <n v="2"/>
    <n v="320.08"/>
    <n v="0.1"/>
    <n v="576.14"/>
    <n v="400"/>
    <n v="176.14"/>
    <s v="PayPal"/>
    <x v="1"/>
  </r>
  <r>
    <x v="251"/>
    <x v="182"/>
    <s v="Avery Taylor"/>
    <x v="7"/>
    <s v="North America"/>
    <x v="2"/>
    <x v="1"/>
    <n v="1"/>
    <n v="120.41"/>
    <n v="0.05"/>
    <n v="114.39"/>
    <n v="60"/>
    <n v="54.39"/>
    <s v="PayPal"/>
    <x v="1"/>
  </r>
  <r>
    <x v="252"/>
    <x v="183"/>
    <s v="Chris Thomas"/>
    <x v="5"/>
    <s v="Europe"/>
    <x v="5"/>
    <x v="1"/>
    <n v="1"/>
    <n v="75.09"/>
    <n v="0.15"/>
    <n v="63.83"/>
    <n v="40"/>
    <n v="23.83"/>
    <s v="Credit Card"/>
    <x v="2"/>
  </r>
  <r>
    <x v="253"/>
    <x v="2"/>
    <s v="Olivia Brown"/>
    <x v="4"/>
    <s v="Africa"/>
    <x v="7"/>
    <x v="1"/>
    <n v="1"/>
    <n v="409.44"/>
    <n v="0.1"/>
    <n v="368.5"/>
    <n v="280"/>
    <n v="88.5"/>
    <s v="Credit Card"/>
    <x v="0"/>
  </r>
  <r>
    <x v="254"/>
    <x v="29"/>
    <s v="Alex Smith"/>
    <x v="7"/>
    <s v="North America"/>
    <x v="0"/>
    <x v="0"/>
    <n v="1"/>
    <n v="291.66000000000003"/>
    <n v="0"/>
    <n v="291.66000000000003"/>
    <n v="170"/>
    <n v="121.66"/>
    <s v="PayPal"/>
    <x v="1"/>
  </r>
  <r>
    <x v="255"/>
    <x v="184"/>
    <s v="Jamie Hall"/>
    <x v="7"/>
    <s v="North America"/>
    <x v="2"/>
    <x v="1"/>
    <n v="1"/>
    <n v="122.48"/>
    <n v="0.1"/>
    <n v="110.23"/>
    <n v="60"/>
    <n v="50.23"/>
    <s v="Debit Card"/>
    <x v="1"/>
  </r>
  <r>
    <x v="256"/>
    <x v="56"/>
    <s v="Liam Brown"/>
    <x v="4"/>
    <s v="Africa"/>
    <x v="7"/>
    <x v="1"/>
    <n v="3"/>
    <n v="404.33"/>
    <n v="0"/>
    <n v="1212.99"/>
    <n v="840"/>
    <n v="372.99"/>
    <s v="Bank Transfer"/>
    <x v="1"/>
  </r>
  <r>
    <x v="257"/>
    <x v="185"/>
    <s v="Sophia Young"/>
    <x v="3"/>
    <s v="Oceania"/>
    <x v="1"/>
    <x v="0"/>
    <n v="1"/>
    <n v="204.66"/>
    <n v="0"/>
    <n v="204.66"/>
    <n v="110"/>
    <n v="94.66"/>
    <s v="Debit Card"/>
    <x v="1"/>
  </r>
  <r>
    <x v="258"/>
    <x v="163"/>
    <s v="Riley Wilson"/>
    <x v="0"/>
    <s v="Europe"/>
    <x v="7"/>
    <x v="1"/>
    <n v="2"/>
    <n v="427.36"/>
    <n v="0.1"/>
    <n v="769.25"/>
    <n v="560"/>
    <n v="209.25"/>
    <s v="Bank Transfer"/>
    <x v="1"/>
  </r>
  <r>
    <x v="259"/>
    <x v="186"/>
    <s v="Jordan Moore"/>
    <x v="5"/>
    <s v="Europe"/>
    <x v="0"/>
    <x v="0"/>
    <n v="2"/>
    <n v="288.85000000000002"/>
    <n v="0.2"/>
    <n v="462.16"/>
    <n v="340"/>
    <n v="122.16"/>
    <s v="Credit Card"/>
    <x v="1"/>
  </r>
  <r>
    <x v="260"/>
    <x v="187"/>
    <s v="Ethan Clark"/>
    <x v="6"/>
    <s v="North America"/>
    <x v="7"/>
    <x v="1"/>
    <n v="2"/>
    <n v="434.86"/>
    <n v="0"/>
    <n v="869.72"/>
    <n v="560"/>
    <n v="309.72000000000003"/>
    <s v="Bank Transfer"/>
    <x v="0"/>
  </r>
  <r>
    <x v="261"/>
    <x v="188"/>
    <s v="Riley Anderson"/>
    <x v="7"/>
    <s v="North America"/>
    <x v="1"/>
    <x v="0"/>
    <n v="2"/>
    <n v="194.77"/>
    <n v="0.1"/>
    <n v="350.59"/>
    <n v="220"/>
    <n v="130.59"/>
    <s v="Bank Transfer"/>
    <x v="1"/>
  </r>
  <r>
    <x v="262"/>
    <x v="189"/>
    <s v="Avery Brown"/>
    <x v="1"/>
    <s v="Asia"/>
    <x v="7"/>
    <x v="1"/>
    <n v="1"/>
    <n v="442.31"/>
    <n v="0.05"/>
    <n v="420.19"/>
    <n v="280"/>
    <n v="140.19"/>
    <s v="Credit Card"/>
    <x v="0"/>
  </r>
  <r>
    <x v="263"/>
    <x v="190"/>
    <s v="Casey Lewis"/>
    <x v="1"/>
    <s v="Asia"/>
    <x v="6"/>
    <x v="0"/>
    <n v="1"/>
    <n v="316.52999999999997"/>
    <n v="0"/>
    <n v="316.52999999999997"/>
    <n v="200"/>
    <n v="116.53"/>
    <s v="Bank Transfer"/>
    <x v="1"/>
  </r>
  <r>
    <x v="264"/>
    <x v="191"/>
    <s v="Alex Young"/>
    <x v="5"/>
    <s v="Europe"/>
    <x v="1"/>
    <x v="0"/>
    <n v="1"/>
    <n v="188.4"/>
    <n v="0.1"/>
    <n v="169.56"/>
    <n v="110"/>
    <n v="59.56"/>
    <s v="Debit Card"/>
    <x v="1"/>
  </r>
  <r>
    <x v="265"/>
    <x v="143"/>
    <s v="Casey Moore"/>
    <x v="4"/>
    <s v="Africa"/>
    <x v="7"/>
    <x v="1"/>
    <n v="1"/>
    <n v="422.34"/>
    <n v="0.15"/>
    <n v="358.99"/>
    <n v="280"/>
    <n v="78.989999999999995"/>
    <s v="Credit Card"/>
    <x v="1"/>
  </r>
  <r>
    <x v="266"/>
    <x v="192"/>
    <s v="Daniel Taylor"/>
    <x v="2"/>
    <s v="Africa"/>
    <x v="6"/>
    <x v="0"/>
    <n v="3"/>
    <n v="345.01"/>
    <n v="0"/>
    <n v="1035.03"/>
    <n v="600"/>
    <n v="435.03"/>
    <s v="Debit Card"/>
    <x v="2"/>
  </r>
  <r>
    <x v="267"/>
    <x v="107"/>
    <s v="Liam Wilson"/>
    <x v="0"/>
    <s v="Europe"/>
    <x v="3"/>
    <x v="1"/>
    <n v="2"/>
    <n v="899.02"/>
    <n v="0.05"/>
    <n v="1708.14"/>
    <n v="1200"/>
    <n v="508.14"/>
    <s v="Credit Card"/>
    <x v="1"/>
  </r>
  <r>
    <x v="268"/>
    <x v="193"/>
    <s v="Liam Taylor"/>
    <x v="0"/>
    <s v="Europe"/>
    <x v="7"/>
    <x v="1"/>
    <n v="2"/>
    <n v="439.89"/>
    <n v="0.05"/>
    <n v="835.79"/>
    <n v="560"/>
    <n v="275.79000000000002"/>
    <s v="Bank Transfer"/>
    <x v="0"/>
  </r>
  <r>
    <x v="269"/>
    <x v="194"/>
    <s v="Jordan Brown"/>
    <x v="3"/>
    <s v="Oceania"/>
    <x v="2"/>
    <x v="1"/>
    <n v="3"/>
    <n v="124.55"/>
    <n v="0"/>
    <n v="373.65"/>
    <n v="180"/>
    <n v="193.65"/>
    <s v="Bank Transfer"/>
    <x v="1"/>
  </r>
  <r>
    <x v="270"/>
    <x v="195"/>
    <s v="Taylor Davis"/>
    <x v="0"/>
    <s v="Europe"/>
    <x v="5"/>
    <x v="1"/>
    <n v="6"/>
    <n v="72"/>
    <n v="0"/>
    <n v="432"/>
    <n v="240"/>
    <n v="192"/>
    <s v="PayPal"/>
    <x v="1"/>
  </r>
  <r>
    <x v="271"/>
    <x v="196"/>
    <s v="Noah Davis"/>
    <x v="3"/>
    <s v="Oceania"/>
    <x v="0"/>
    <x v="0"/>
    <n v="1"/>
    <n v="284.60000000000002"/>
    <n v="0"/>
    <n v="284.60000000000002"/>
    <n v="170"/>
    <n v="114.6"/>
    <s v="PayPal"/>
    <x v="2"/>
  </r>
  <r>
    <x v="272"/>
    <x v="197"/>
    <s v="Jordan Thomas"/>
    <x v="0"/>
    <s v="Europe"/>
    <x v="0"/>
    <x v="0"/>
    <n v="5"/>
    <n v="292.5"/>
    <n v="0.05"/>
    <n v="1389.38"/>
    <n v="850"/>
    <n v="539.38"/>
    <s v="Credit Card"/>
    <x v="1"/>
  </r>
  <r>
    <x v="273"/>
    <x v="93"/>
    <s v="Olivia Moore"/>
    <x v="2"/>
    <s v="Africa"/>
    <x v="2"/>
    <x v="1"/>
    <n v="2"/>
    <n v="121.47"/>
    <n v="0.1"/>
    <n v="218.65"/>
    <n v="120"/>
    <n v="98.65"/>
    <s v="Debit Card"/>
    <x v="1"/>
  </r>
  <r>
    <x v="274"/>
    <x v="139"/>
    <s v="Drew Brown"/>
    <x v="3"/>
    <s v="Oceania"/>
    <x v="6"/>
    <x v="0"/>
    <n v="4"/>
    <n v="347.23"/>
    <n v="0"/>
    <n v="1388.92"/>
    <n v="800"/>
    <n v="588.91999999999996"/>
    <s v="Bank Transfer"/>
    <x v="1"/>
  </r>
  <r>
    <x v="275"/>
    <x v="198"/>
    <s v="Sophia Young"/>
    <x v="2"/>
    <s v="Africa"/>
    <x v="4"/>
    <x v="1"/>
    <n v="3"/>
    <n v="244.62"/>
    <n v="0.05"/>
    <n v="697.17"/>
    <n v="450"/>
    <n v="247.17"/>
    <s v="Debit Card"/>
    <x v="1"/>
  </r>
  <r>
    <x v="276"/>
    <x v="199"/>
    <s v="Daniel Moore"/>
    <x v="0"/>
    <s v="Europe"/>
    <x v="1"/>
    <x v="0"/>
    <n v="1"/>
    <n v="194.51"/>
    <n v="0"/>
    <n v="194.51"/>
    <n v="110"/>
    <n v="84.51"/>
    <s v="Bank Transfer"/>
    <x v="1"/>
  </r>
  <r>
    <x v="277"/>
    <x v="134"/>
    <s v="Cameron Walker"/>
    <x v="2"/>
    <s v="Africa"/>
    <x v="3"/>
    <x v="1"/>
    <n v="1"/>
    <n v="901.68"/>
    <n v="0.15"/>
    <n v="766.43"/>
    <n v="600"/>
    <n v="166.43"/>
    <s v="Debit Card"/>
    <x v="0"/>
  </r>
  <r>
    <x v="278"/>
    <x v="200"/>
    <s v="Chris Brown"/>
    <x v="3"/>
    <s v="Oceania"/>
    <x v="4"/>
    <x v="1"/>
    <n v="2"/>
    <n v="236.9"/>
    <n v="0.1"/>
    <n v="426.42"/>
    <n v="300"/>
    <n v="126.42"/>
    <s v="Credit Card"/>
    <x v="2"/>
  </r>
  <r>
    <x v="279"/>
    <x v="201"/>
    <s v="Cameron Walker"/>
    <x v="4"/>
    <s v="Africa"/>
    <x v="0"/>
    <x v="0"/>
    <n v="1"/>
    <n v="278.70999999999998"/>
    <n v="0"/>
    <n v="278.70999999999998"/>
    <n v="170"/>
    <n v="108.71"/>
    <s v="Credit Card"/>
    <x v="0"/>
  </r>
  <r>
    <x v="280"/>
    <x v="202"/>
    <s v="Chris Hall"/>
    <x v="1"/>
    <s v="Asia"/>
    <x v="3"/>
    <x v="1"/>
    <n v="1"/>
    <n v="816.58"/>
    <n v="0.05"/>
    <n v="775.75"/>
    <n v="600"/>
    <n v="175.75"/>
    <s v="Bank Transfer"/>
    <x v="2"/>
  </r>
  <r>
    <x v="281"/>
    <x v="136"/>
    <s v="Sophia Davis"/>
    <x v="0"/>
    <s v="Europe"/>
    <x v="0"/>
    <x v="0"/>
    <n v="1"/>
    <n v="277.17"/>
    <n v="0.15"/>
    <n v="235.59"/>
    <n v="170"/>
    <n v="65.59"/>
    <s v="Bank Transfer"/>
    <x v="1"/>
  </r>
  <r>
    <x v="282"/>
    <x v="203"/>
    <s v="Jordan Clark"/>
    <x v="2"/>
    <s v="Africa"/>
    <x v="5"/>
    <x v="1"/>
    <n v="2"/>
    <n v="80.52"/>
    <n v="0.05"/>
    <n v="152.99"/>
    <n v="80"/>
    <n v="72.989999999999995"/>
    <s v="Bank Transfer"/>
    <x v="1"/>
  </r>
  <r>
    <x v="283"/>
    <x v="92"/>
    <s v="Jamie Martin"/>
    <x v="2"/>
    <s v="Africa"/>
    <x v="6"/>
    <x v="0"/>
    <n v="5"/>
    <n v="310.43"/>
    <n v="0"/>
    <n v="1552.15"/>
    <n v="1000"/>
    <n v="552.15"/>
    <s v="PayPal"/>
    <x v="1"/>
  </r>
  <r>
    <x v="284"/>
    <x v="204"/>
    <s v="Taylor Walker"/>
    <x v="6"/>
    <s v="North America"/>
    <x v="3"/>
    <x v="1"/>
    <n v="2"/>
    <n v="829.17"/>
    <n v="0.05"/>
    <n v="1575.42"/>
    <n v="1200"/>
    <n v="375.42"/>
    <s v="Debit Card"/>
    <x v="2"/>
  </r>
  <r>
    <x v="285"/>
    <x v="205"/>
    <s v="Alex Martin"/>
    <x v="2"/>
    <s v="Africa"/>
    <x v="3"/>
    <x v="1"/>
    <n v="1"/>
    <n v="811.56"/>
    <n v="0"/>
    <n v="811.56"/>
    <n v="600"/>
    <n v="211.56"/>
    <s v="Debit Card"/>
    <x v="1"/>
  </r>
  <r>
    <x v="286"/>
    <x v="38"/>
    <s v="Casey Smith"/>
    <x v="2"/>
    <s v="Africa"/>
    <x v="7"/>
    <x v="1"/>
    <n v="2"/>
    <n v="420.68"/>
    <n v="0.15"/>
    <n v="715.16"/>
    <n v="560"/>
    <n v="155.16"/>
    <s v="Debit Card"/>
    <x v="1"/>
  </r>
  <r>
    <x v="287"/>
    <x v="206"/>
    <s v="Noah Brown"/>
    <x v="5"/>
    <s v="Europe"/>
    <x v="4"/>
    <x v="1"/>
    <n v="3"/>
    <n v="249.07"/>
    <n v="0"/>
    <n v="747.21"/>
    <n v="450"/>
    <n v="297.20999999999998"/>
    <s v="Debit Card"/>
    <x v="0"/>
  </r>
  <r>
    <x v="288"/>
    <x v="207"/>
    <s v="Mia Lewis"/>
    <x v="6"/>
    <s v="North America"/>
    <x v="1"/>
    <x v="0"/>
    <n v="2"/>
    <n v="202.92"/>
    <n v="0"/>
    <n v="405.84"/>
    <n v="220"/>
    <n v="185.84"/>
    <s v="Bank Transfer"/>
    <x v="1"/>
  </r>
  <r>
    <x v="289"/>
    <x v="208"/>
    <s v="Mia Young"/>
    <x v="3"/>
    <s v="Oceania"/>
    <x v="5"/>
    <x v="1"/>
    <n v="4"/>
    <n v="77.45"/>
    <n v="0"/>
    <n v="309.8"/>
    <n v="160"/>
    <n v="149.80000000000001"/>
    <s v="Credit Card"/>
    <x v="2"/>
  </r>
  <r>
    <x v="290"/>
    <x v="182"/>
    <s v="Casey Brown"/>
    <x v="7"/>
    <s v="North America"/>
    <x v="7"/>
    <x v="1"/>
    <n v="3"/>
    <n v="435.18"/>
    <n v="0.1"/>
    <n v="1174.99"/>
    <n v="840"/>
    <n v="334.99"/>
    <s v="Debit Card"/>
    <x v="1"/>
  </r>
  <r>
    <x v="291"/>
    <x v="116"/>
    <s v="Cameron Martin"/>
    <x v="6"/>
    <s v="North America"/>
    <x v="5"/>
    <x v="1"/>
    <n v="1"/>
    <n v="80.430000000000007"/>
    <n v="0"/>
    <n v="80.430000000000007"/>
    <n v="40"/>
    <n v="40.43"/>
    <s v="Credit Card"/>
    <x v="2"/>
  </r>
  <r>
    <x v="292"/>
    <x v="109"/>
    <s v="Taylor Davis"/>
    <x v="2"/>
    <s v="Africa"/>
    <x v="7"/>
    <x v="1"/>
    <n v="1"/>
    <n v="407.43"/>
    <n v="0"/>
    <n v="407.43"/>
    <n v="280"/>
    <n v="127.43"/>
    <s v="Bank Transfer"/>
    <x v="2"/>
  </r>
  <r>
    <x v="293"/>
    <x v="209"/>
    <s v="Chris Brown"/>
    <x v="2"/>
    <s v="Africa"/>
    <x v="2"/>
    <x v="1"/>
    <n v="2"/>
    <n v="114.18"/>
    <n v="0"/>
    <n v="228.36"/>
    <n v="120"/>
    <n v="108.36"/>
    <s v="Debit Card"/>
    <x v="1"/>
  </r>
  <r>
    <x v="294"/>
    <x v="210"/>
    <s v="Jamie Lewis"/>
    <x v="4"/>
    <s v="Africa"/>
    <x v="6"/>
    <x v="0"/>
    <n v="3"/>
    <n v="339.56"/>
    <n v="0"/>
    <n v="1018.68"/>
    <n v="600"/>
    <n v="418.68"/>
    <s v="Debit Card"/>
    <x v="0"/>
  </r>
  <r>
    <x v="295"/>
    <x v="119"/>
    <s v="Chris Johnson"/>
    <x v="4"/>
    <s v="Africa"/>
    <x v="4"/>
    <x v="1"/>
    <n v="2"/>
    <n v="246.42"/>
    <n v="0.1"/>
    <n v="443.56"/>
    <n v="300"/>
    <n v="143.56"/>
    <s v="Debit Card"/>
    <x v="1"/>
  </r>
  <r>
    <x v="296"/>
    <x v="103"/>
    <s v="Morgan Lewis"/>
    <x v="3"/>
    <s v="Oceania"/>
    <x v="3"/>
    <x v="1"/>
    <n v="2"/>
    <n v="871.83"/>
    <n v="0"/>
    <n v="1743.66"/>
    <n v="1200"/>
    <n v="543.66"/>
    <s v="Bank Transfer"/>
    <x v="1"/>
  </r>
  <r>
    <x v="297"/>
    <x v="211"/>
    <s v="Daniel Brown"/>
    <x v="4"/>
    <s v="Africa"/>
    <x v="4"/>
    <x v="1"/>
    <n v="1"/>
    <n v="238.79"/>
    <n v="0.15"/>
    <n v="202.97"/>
    <n v="150"/>
    <n v="52.97"/>
    <s v="Credit Card"/>
    <x v="2"/>
  </r>
  <r>
    <x v="298"/>
    <x v="212"/>
    <s v="Liam Davis"/>
    <x v="5"/>
    <s v="Europe"/>
    <x v="3"/>
    <x v="1"/>
    <n v="1"/>
    <n v="866.18"/>
    <n v="0.1"/>
    <n v="779.56"/>
    <n v="600"/>
    <n v="179.56"/>
    <s v="Debit Card"/>
    <x v="2"/>
  </r>
  <r>
    <x v="299"/>
    <x v="213"/>
    <s v="Taylor Clark"/>
    <x v="0"/>
    <s v="Europe"/>
    <x v="3"/>
    <x v="1"/>
    <n v="1"/>
    <n v="810.54"/>
    <n v="0.05"/>
    <n v="770.01"/>
    <n v="600"/>
    <n v="170.01"/>
    <s v="Credit Card"/>
    <x v="1"/>
  </r>
  <r>
    <x v="300"/>
    <x v="190"/>
    <s v="Emma Wilson"/>
    <x v="1"/>
    <s v="Asia"/>
    <x v="2"/>
    <x v="1"/>
    <n v="1"/>
    <n v="125.8"/>
    <n v="0"/>
    <n v="125.8"/>
    <n v="60"/>
    <n v="65.8"/>
    <s v="Credit Card"/>
    <x v="0"/>
  </r>
  <r>
    <x v="301"/>
    <x v="148"/>
    <s v="Ethan Lewis"/>
    <x v="4"/>
    <s v="Africa"/>
    <x v="7"/>
    <x v="1"/>
    <n v="2"/>
    <n v="423.25"/>
    <n v="0.05"/>
    <n v="804.18"/>
    <n v="560"/>
    <n v="244.18"/>
    <s v="Debit Card"/>
    <x v="1"/>
  </r>
  <r>
    <x v="302"/>
    <x v="97"/>
    <s v="Morgan Wilson"/>
    <x v="3"/>
    <s v="Oceania"/>
    <x v="6"/>
    <x v="0"/>
    <n v="2"/>
    <n v="323.13"/>
    <n v="0"/>
    <n v="646.26"/>
    <n v="400"/>
    <n v="246.26"/>
    <s v="Credit Card"/>
    <x v="2"/>
  </r>
  <r>
    <x v="303"/>
    <x v="214"/>
    <s v="Jordan Walker"/>
    <x v="4"/>
    <s v="Africa"/>
    <x v="6"/>
    <x v="0"/>
    <n v="1"/>
    <n v="323.8"/>
    <n v="0.1"/>
    <n v="291.42"/>
    <n v="200"/>
    <n v="91.42"/>
    <s v="Credit Card"/>
    <x v="1"/>
  </r>
  <r>
    <x v="304"/>
    <x v="215"/>
    <s v="Taylor Walker"/>
    <x v="0"/>
    <s v="Europe"/>
    <x v="2"/>
    <x v="1"/>
    <n v="3"/>
    <n v="123.06"/>
    <n v="0"/>
    <n v="369.18"/>
    <n v="180"/>
    <n v="189.18"/>
    <s v="Debit Card"/>
    <x v="1"/>
  </r>
  <r>
    <x v="305"/>
    <x v="106"/>
    <s v="Sophia Wilson"/>
    <x v="5"/>
    <s v="Europe"/>
    <x v="5"/>
    <x v="1"/>
    <n v="2"/>
    <n v="78.98"/>
    <n v="0"/>
    <n v="157.96"/>
    <n v="80"/>
    <n v="77.959999999999994"/>
    <s v="Bank Transfer"/>
    <x v="1"/>
  </r>
  <r>
    <x v="306"/>
    <x v="66"/>
    <s v="Jordan Clark"/>
    <x v="6"/>
    <s v="North America"/>
    <x v="0"/>
    <x v="0"/>
    <n v="2"/>
    <n v="295.70999999999998"/>
    <n v="0"/>
    <n v="591.41999999999996"/>
    <n v="340"/>
    <n v="251.42"/>
    <s v="Credit Card"/>
    <x v="1"/>
  </r>
  <r>
    <x v="307"/>
    <x v="191"/>
    <s v="Daniel Moore"/>
    <x v="4"/>
    <s v="Africa"/>
    <x v="6"/>
    <x v="0"/>
    <n v="4"/>
    <n v="342.31"/>
    <n v="0"/>
    <n v="1369.24"/>
    <n v="800"/>
    <n v="569.24"/>
    <s v="PayPal"/>
    <x v="0"/>
  </r>
  <r>
    <x v="308"/>
    <x v="216"/>
    <s v="Jamie Young"/>
    <x v="5"/>
    <s v="Europe"/>
    <x v="2"/>
    <x v="1"/>
    <n v="2"/>
    <n v="125.77"/>
    <n v="0"/>
    <n v="251.54"/>
    <n v="120"/>
    <n v="131.54"/>
    <s v="Credit Card"/>
    <x v="1"/>
  </r>
  <r>
    <x v="309"/>
    <x v="217"/>
    <s v="Sophia Johnson"/>
    <x v="6"/>
    <s v="North America"/>
    <x v="6"/>
    <x v="0"/>
    <n v="4"/>
    <n v="330.35"/>
    <n v="0"/>
    <n v="1321.4"/>
    <n v="800"/>
    <n v="521.4"/>
    <s v="Bank Transfer"/>
    <x v="0"/>
  </r>
  <r>
    <x v="310"/>
    <x v="218"/>
    <s v="Mia Brown"/>
    <x v="7"/>
    <s v="North America"/>
    <x v="5"/>
    <x v="1"/>
    <n v="4"/>
    <n v="76.84"/>
    <n v="0.1"/>
    <n v="276.62"/>
    <n v="160"/>
    <n v="116.62"/>
    <s v="Credit Card"/>
    <x v="1"/>
  </r>
  <r>
    <x v="311"/>
    <x v="219"/>
    <s v="Jamie Brown"/>
    <x v="4"/>
    <s v="Africa"/>
    <x v="3"/>
    <x v="1"/>
    <n v="3"/>
    <n v="834.06"/>
    <n v="0"/>
    <n v="2502.1799999999998"/>
    <n v="1800"/>
    <n v="702.18"/>
    <s v="Debit Card"/>
    <x v="1"/>
  </r>
  <r>
    <x v="312"/>
    <x v="205"/>
    <s v="Sam Brown"/>
    <x v="3"/>
    <s v="Oceania"/>
    <x v="4"/>
    <x v="1"/>
    <n v="1"/>
    <n v="249.46"/>
    <n v="0.05"/>
    <n v="236.99"/>
    <n v="150"/>
    <n v="86.99"/>
    <s v="Bank Transfer"/>
    <x v="1"/>
  </r>
  <r>
    <x v="313"/>
    <x v="212"/>
    <s v="Emma Brown"/>
    <x v="4"/>
    <s v="Africa"/>
    <x v="1"/>
    <x v="0"/>
    <n v="4"/>
    <n v="198.61"/>
    <n v="0"/>
    <n v="794.44"/>
    <n v="440"/>
    <n v="354.44"/>
    <s v="PayPal"/>
    <x v="2"/>
  </r>
  <r>
    <x v="314"/>
    <x v="116"/>
    <s v="Casey Smith"/>
    <x v="1"/>
    <s v="Asia"/>
    <x v="4"/>
    <x v="1"/>
    <n v="1"/>
    <n v="238.66"/>
    <n v="0"/>
    <n v="238.66"/>
    <n v="150"/>
    <n v="88.66"/>
    <s v="Credit Card"/>
    <x v="1"/>
  </r>
  <r>
    <x v="315"/>
    <x v="220"/>
    <s v="Jordan Young"/>
    <x v="4"/>
    <s v="Africa"/>
    <x v="5"/>
    <x v="1"/>
    <n v="3"/>
    <n v="79.5"/>
    <n v="0.1"/>
    <n v="214.65"/>
    <n v="120"/>
    <n v="94.65"/>
    <s v="Credit Card"/>
    <x v="1"/>
  </r>
  <r>
    <x v="316"/>
    <x v="203"/>
    <s v="Mia Walker"/>
    <x v="2"/>
    <s v="Africa"/>
    <x v="4"/>
    <x v="1"/>
    <n v="1"/>
    <n v="231.46"/>
    <n v="0"/>
    <n v="231.46"/>
    <n v="150"/>
    <n v="81.459999999999994"/>
    <s v="Bank Transfer"/>
    <x v="1"/>
  </r>
  <r>
    <x v="317"/>
    <x v="73"/>
    <s v="Drew Lewis"/>
    <x v="5"/>
    <s v="Europe"/>
    <x v="6"/>
    <x v="0"/>
    <n v="2"/>
    <n v="329.9"/>
    <n v="0"/>
    <n v="659.8"/>
    <n v="400"/>
    <n v="259.8"/>
    <s v="Bank Transfer"/>
    <x v="1"/>
  </r>
  <r>
    <x v="318"/>
    <x v="221"/>
    <s v="Noah Thomas"/>
    <x v="1"/>
    <s v="Asia"/>
    <x v="4"/>
    <x v="1"/>
    <n v="1"/>
    <n v="240.52"/>
    <n v="0.1"/>
    <n v="216.47"/>
    <n v="150"/>
    <n v="66.47"/>
    <s v="Debit Card"/>
    <x v="0"/>
  </r>
  <r>
    <x v="319"/>
    <x v="222"/>
    <s v="Mia Wilson"/>
    <x v="3"/>
    <s v="Oceania"/>
    <x v="0"/>
    <x v="0"/>
    <n v="4"/>
    <n v="269.08999999999997"/>
    <n v="0.05"/>
    <n v="1022.54"/>
    <n v="680"/>
    <n v="342.54"/>
    <s v="Credit Card"/>
    <x v="1"/>
  </r>
  <r>
    <x v="320"/>
    <x v="155"/>
    <s v="Drew Davis"/>
    <x v="2"/>
    <s v="Africa"/>
    <x v="4"/>
    <x v="1"/>
    <n v="5"/>
    <n v="242.02"/>
    <n v="0.05"/>
    <n v="1149.5999999999999"/>
    <n v="750"/>
    <n v="399.6"/>
    <s v="Debit Card"/>
    <x v="1"/>
  </r>
  <r>
    <x v="321"/>
    <x v="41"/>
    <s v="Emma Taylor"/>
    <x v="7"/>
    <s v="North America"/>
    <x v="6"/>
    <x v="0"/>
    <n v="2"/>
    <n v="321.56"/>
    <n v="0"/>
    <n v="643.12"/>
    <n v="400"/>
    <n v="243.12"/>
    <s v="Debit Card"/>
    <x v="1"/>
  </r>
  <r>
    <x v="322"/>
    <x v="97"/>
    <s v="Ethan Thomas"/>
    <x v="3"/>
    <s v="Oceania"/>
    <x v="1"/>
    <x v="0"/>
    <n v="1"/>
    <n v="187.52"/>
    <n v="0.05"/>
    <n v="178.14"/>
    <n v="110"/>
    <n v="68.14"/>
    <s v="Debit Card"/>
    <x v="1"/>
  </r>
  <r>
    <x v="323"/>
    <x v="133"/>
    <s v="Ethan Taylor"/>
    <x v="6"/>
    <s v="North America"/>
    <x v="4"/>
    <x v="1"/>
    <n v="1"/>
    <n v="252.43"/>
    <n v="0"/>
    <n v="252.43"/>
    <n v="150"/>
    <n v="102.43"/>
    <s v="Bank Transfer"/>
    <x v="1"/>
  </r>
  <r>
    <x v="324"/>
    <x v="117"/>
    <s v="Sam Moore"/>
    <x v="1"/>
    <s v="Asia"/>
    <x v="3"/>
    <x v="1"/>
    <n v="2"/>
    <n v="816.64"/>
    <n v="0.15"/>
    <n v="1388.29"/>
    <n v="1200"/>
    <n v="188.29"/>
    <s v="Credit Card"/>
    <x v="1"/>
  </r>
  <r>
    <x v="325"/>
    <x v="214"/>
    <s v="Olivia Taylor"/>
    <x v="0"/>
    <s v="Europe"/>
    <x v="5"/>
    <x v="1"/>
    <n v="4"/>
    <n v="75.48"/>
    <n v="0.15"/>
    <n v="256.63"/>
    <n v="160"/>
    <n v="96.63"/>
    <s v="Credit Card"/>
    <x v="0"/>
  </r>
  <r>
    <x v="326"/>
    <x v="49"/>
    <s v="Drew Young"/>
    <x v="3"/>
    <s v="Oceania"/>
    <x v="7"/>
    <x v="1"/>
    <n v="3"/>
    <n v="445.1"/>
    <n v="0.15"/>
    <n v="1135.01"/>
    <n v="840"/>
    <n v="295.01"/>
    <s v="Credit Card"/>
    <x v="2"/>
  </r>
  <r>
    <x v="327"/>
    <x v="221"/>
    <s v="Cameron Wilson"/>
    <x v="4"/>
    <s v="Africa"/>
    <x v="3"/>
    <x v="1"/>
    <n v="1"/>
    <n v="882.21"/>
    <n v="0"/>
    <n v="882.21"/>
    <n v="600"/>
    <n v="282.20999999999998"/>
    <s v="Debit Card"/>
    <x v="2"/>
  </r>
  <r>
    <x v="328"/>
    <x v="175"/>
    <s v="Cameron Brown"/>
    <x v="7"/>
    <s v="North America"/>
    <x v="3"/>
    <x v="1"/>
    <n v="2"/>
    <n v="862.79"/>
    <n v="0.15"/>
    <n v="1466.74"/>
    <n v="1200"/>
    <n v="266.74"/>
    <s v="Debit Card"/>
    <x v="1"/>
  </r>
  <r>
    <x v="329"/>
    <x v="45"/>
    <s v="Mia Davis"/>
    <x v="0"/>
    <s v="Europe"/>
    <x v="3"/>
    <x v="1"/>
    <n v="1"/>
    <n v="853.52"/>
    <n v="0.1"/>
    <n v="768.17"/>
    <n v="600"/>
    <n v="168.17"/>
    <s v="PayPal"/>
    <x v="1"/>
  </r>
  <r>
    <x v="330"/>
    <x v="223"/>
    <s v="Mia Walker"/>
    <x v="2"/>
    <s v="Africa"/>
    <x v="2"/>
    <x v="1"/>
    <n v="3"/>
    <n v="126.42"/>
    <n v="0.05"/>
    <n v="360.3"/>
    <n v="180"/>
    <n v="180.3"/>
    <s v="Credit Card"/>
    <x v="1"/>
  </r>
  <r>
    <x v="331"/>
    <x v="224"/>
    <s v="Riley Taylor"/>
    <x v="0"/>
    <s v="Europe"/>
    <x v="7"/>
    <x v="1"/>
    <n v="3"/>
    <n v="401.85"/>
    <n v="0.2"/>
    <n v="964.44"/>
    <n v="840"/>
    <n v="124.44"/>
    <s v="Credit Card"/>
    <x v="0"/>
  </r>
  <r>
    <x v="332"/>
    <x v="225"/>
    <s v="Chris Young"/>
    <x v="5"/>
    <s v="Europe"/>
    <x v="2"/>
    <x v="1"/>
    <n v="3"/>
    <n v="126.2"/>
    <n v="0.1"/>
    <n v="340.74"/>
    <n v="180"/>
    <n v="160.74"/>
    <s v="PayPal"/>
    <x v="1"/>
  </r>
  <r>
    <x v="333"/>
    <x v="226"/>
    <s v="Taylor Moore"/>
    <x v="2"/>
    <s v="Africa"/>
    <x v="1"/>
    <x v="0"/>
    <n v="4"/>
    <n v="203.94"/>
    <n v="0.1"/>
    <n v="734.18"/>
    <n v="440"/>
    <n v="294.18"/>
    <s v="Bank Transfer"/>
    <x v="1"/>
  </r>
  <r>
    <x v="334"/>
    <x v="188"/>
    <s v="Jamie Smith"/>
    <x v="2"/>
    <s v="Africa"/>
    <x v="5"/>
    <x v="1"/>
    <n v="1"/>
    <n v="80.64"/>
    <n v="0.05"/>
    <n v="76.61"/>
    <n v="40"/>
    <n v="36.61"/>
    <s v="Credit Card"/>
    <x v="2"/>
  </r>
  <r>
    <x v="335"/>
    <x v="3"/>
    <s v="Drew Clark"/>
    <x v="6"/>
    <s v="North America"/>
    <x v="1"/>
    <x v="0"/>
    <n v="1"/>
    <n v="194.71"/>
    <n v="0.1"/>
    <n v="175.24"/>
    <n v="110"/>
    <n v="65.239999999999995"/>
    <s v="Debit Card"/>
    <x v="1"/>
  </r>
  <r>
    <x v="336"/>
    <x v="86"/>
    <s v="Avery Davis"/>
    <x v="3"/>
    <s v="Oceania"/>
    <x v="1"/>
    <x v="0"/>
    <n v="2"/>
    <n v="198.75"/>
    <n v="0"/>
    <n v="397.5"/>
    <n v="220"/>
    <n v="177.5"/>
    <s v="Bank Transfer"/>
    <x v="2"/>
  </r>
  <r>
    <x v="337"/>
    <x v="25"/>
    <s v="Cameron Clark"/>
    <x v="5"/>
    <s v="Europe"/>
    <x v="0"/>
    <x v="0"/>
    <n v="3"/>
    <n v="291.52999999999997"/>
    <n v="0.2"/>
    <n v="699.67"/>
    <n v="510"/>
    <n v="189.67"/>
    <s v="Bank Transfer"/>
    <x v="2"/>
  </r>
  <r>
    <x v="338"/>
    <x v="207"/>
    <s v="Jordan Johnson"/>
    <x v="2"/>
    <s v="Africa"/>
    <x v="2"/>
    <x v="1"/>
    <n v="2"/>
    <n v="117.56"/>
    <n v="0"/>
    <n v="235.12"/>
    <n v="120"/>
    <n v="115.12"/>
    <s v="Debit Card"/>
    <x v="2"/>
  </r>
  <r>
    <x v="339"/>
    <x v="227"/>
    <s v="Daniel Johnson"/>
    <x v="0"/>
    <s v="Europe"/>
    <x v="7"/>
    <x v="1"/>
    <n v="6"/>
    <n v="427.98"/>
    <n v="0"/>
    <n v="2567.88"/>
    <n v="1680"/>
    <n v="887.88"/>
    <s v="Bank Transfer"/>
    <x v="2"/>
  </r>
  <r>
    <x v="340"/>
    <x v="228"/>
    <s v="Drew Clark"/>
    <x v="6"/>
    <s v="North America"/>
    <x v="3"/>
    <x v="1"/>
    <n v="1"/>
    <n v="823.06"/>
    <n v="0"/>
    <n v="823.06"/>
    <n v="600"/>
    <n v="223.06"/>
    <s v="Debit Card"/>
    <x v="1"/>
  </r>
  <r>
    <x v="341"/>
    <x v="101"/>
    <s v="Alex Smith"/>
    <x v="1"/>
    <s v="Asia"/>
    <x v="1"/>
    <x v="0"/>
    <n v="5"/>
    <n v="196.38"/>
    <n v="0"/>
    <n v="981.9"/>
    <n v="550"/>
    <n v="431.9"/>
    <s v="PayPal"/>
    <x v="1"/>
  </r>
  <r>
    <x v="342"/>
    <x v="8"/>
    <s v="Ethan Wilson"/>
    <x v="6"/>
    <s v="North America"/>
    <x v="4"/>
    <x v="1"/>
    <n v="1"/>
    <n v="249.53"/>
    <n v="0.05"/>
    <n v="237.05"/>
    <n v="150"/>
    <n v="87.05"/>
    <s v="Debit Card"/>
    <x v="1"/>
  </r>
  <r>
    <x v="343"/>
    <x v="183"/>
    <s v="Noah Wilson"/>
    <x v="2"/>
    <s v="Africa"/>
    <x v="3"/>
    <x v="1"/>
    <n v="6"/>
    <n v="834.23"/>
    <n v="0.05"/>
    <n v="4755.1099999999997"/>
    <n v="3600"/>
    <n v="1155.1099999999999"/>
    <s v="Debit Card"/>
    <x v="0"/>
  </r>
  <r>
    <x v="344"/>
    <x v="88"/>
    <s v="Jamie Walker"/>
    <x v="2"/>
    <s v="Africa"/>
    <x v="7"/>
    <x v="1"/>
    <n v="1"/>
    <n v="429.62"/>
    <n v="0.05"/>
    <n v="408.14"/>
    <n v="280"/>
    <n v="128.13999999999999"/>
    <s v="Debit Card"/>
    <x v="0"/>
  </r>
  <r>
    <x v="345"/>
    <x v="108"/>
    <s v="Chris Taylor"/>
    <x v="6"/>
    <s v="North America"/>
    <x v="3"/>
    <x v="1"/>
    <n v="6"/>
    <n v="901.84"/>
    <n v="0.1"/>
    <n v="4869.9399999999996"/>
    <n v="3600"/>
    <n v="1269.94"/>
    <s v="Credit Card"/>
    <x v="2"/>
  </r>
  <r>
    <x v="346"/>
    <x v="225"/>
    <s v="Sam Wilson"/>
    <x v="1"/>
    <s v="Asia"/>
    <x v="1"/>
    <x v="0"/>
    <n v="3"/>
    <n v="194.57"/>
    <n v="0.2"/>
    <n v="466.97"/>
    <n v="330"/>
    <n v="136.97"/>
    <s v="Debit Card"/>
    <x v="2"/>
  </r>
  <r>
    <x v="347"/>
    <x v="57"/>
    <s v="Jordan Smith"/>
    <x v="2"/>
    <s v="Africa"/>
    <x v="6"/>
    <x v="0"/>
    <n v="1"/>
    <n v="343.79"/>
    <n v="0"/>
    <n v="343.79"/>
    <n v="200"/>
    <n v="143.79"/>
    <s v="PayPal"/>
    <x v="1"/>
  </r>
  <r>
    <x v="348"/>
    <x v="229"/>
    <s v="Alex Clark"/>
    <x v="1"/>
    <s v="Asia"/>
    <x v="0"/>
    <x v="0"/>
    <n v="4"/>
    <n v="272.33"/>
    <n v="0.1"/>
    <n v="980.39"/>
    <n v="680"/>
    <n v="300.39"/>
    <s v="Bank Transfer"/>
    <x v="1"/>
  </r>
  <r>
    <x v="349"/>
    <x v="230"/>
    <s v="Morgan Wilson"/>
    <x v="7"/>
    <s v="North America"/>
    <x v="6"/>
    <x v="0"/>
    <n v="4"/>
    <n v="344.05"/>
    <n v="0.05"/>
    <n v="1307.3900000000001"/>
    <n v="800"/>
    <n v="507.39"/>
    <s v="Credit Card"/>
    <x v="2"/>
  </r>
  <r>
    <x v="350"/>
    <x v="201"/>
    <s v="Riley Clark"/>
    <x v="5"/>
    <s v="Europe"/>
    <x v="0"/>
    <x v="0"/>
    <n v="1"/>
    <n v="291.57"/>
    <n v="0"/>
    <n v="291.57"/>
    <n v="170"/>
    <n v="121.57"/>
    <s v="Credit Card"/>
    <x v="1"/>
  </r>
  <r>
    <x v="351"/>
    <x v="179"/>
    <s v="Jordan Brown"/>
    <x v="5"/>
    <s v="Europe"/>
    <x v="5"/>
    <x v="1"/>
    <n v="3"/>
    <n v="74.069999999999993"/>
    <n v="0"/>
    <n v="222.21"/>
    <n v="120"/>
    <n v="102.21"/>
    <s v="Debit Card"/>
    <x v="1"/>
  </r>
  <r>
    <x v="352"/>
    <x v="198"/>
    <s v="Olivia Anderson"/>
    <x v="6"/>
    <s v="North America"/>
    <x v="2"/>
    <x v="1"/>
    <n v="2"/>
    <n v="128.33000000000001"/>
    <n v="0.1"/>
    <n v="230.99"/>
    <n v="120"/>
    <n v="110.99"/>
    <s v="Debit Card"/>
    <x v="1"/>
  </r>
  <r>
    <x v="353"/>
    <x v="4"/>
    <s v="Alex Johnson"/>
    <x v="4"/>
    <s v="Africa"/>
    <x v="5"/>
    <x v="1"/>
    <n v="2"/>
    <n v="75.3"/>
    <n v="0.05"/>
    <n v="143.07"/>
    <n v="80"/>
    <n v="63.07"/>
    <s v="PayPal"/>
    <x v="0"/>
  </r>
  <r>
    <x v="354"/>
    <x v="219"/>
    <s v="Alex Smith"/>
    <x v="3"/>
    <s v="Oceania"/>
    <x v="7"/>
    <x v="1"/>
    <n v="4"/>
    <n v="411.49"/>
    <n v="0.1"/>
    <n v="1481.36"/>
    <n v="1120"/>
    <n v="361.36"/>
    <s v="Credit Card"/>
    <x v="2"/>
  </r>
  <r>
    <x v="355"/>
    <x v="222"/>
    <s v="Chris Martin"/>
    <x v="0"/>
    <s v="Europe"/>
    <x v="0"/>
    <x v="0"/>
    <n v="3"/>
    <n v="276.52999999999997"/>
    <n v="0.05"/>
    <n v="788.11"/>
    <n v="510"/>
    <n v="278.11"/>
    <s v="PayPal"/>
    <x v="1"/>
  </r>
  <r>
    <x v="356"/>
    <x v="105"/>
    <s v="Morgan Anderson"/>
    <x v="3"/>
    <s v="Oceania"/>
    <x v="4"/>
    <x v="1"/>
    <n v="5"/>
    <n v="241.09"/>
    <n v="0.15"/>
    <n v="1024.6300000000001"/>
    <n v="750"/>
    <n v="274.63"/>
    <s v="Debit Card"/>
    <x v="1"/>
  </r>
  <r>
    <x v="357"/>
    <x v="219"/>
    <s v="Noah Lewis"/>
    <x v="4"/>
    <s v="Africa"/>
    <x v="0"/>
    <x v="0"/>
    <n v="1"/>
    <n v="282.48"/>
    <n v="0"/>
    <n v="282.48"/>
    <n v="170"/>
    <n v="112.48"/>
    <s v="Bank Transfer"/>
    <x v="1"/>
  </r>
  <r>
    <x v="358"/>
    <x v="231"/>
    <s v="Morgan Johnson"/>
    <x v="5"/>
    <s v="Europe"/>
    <x v="0"/>
    <x v="0"/>
    <n v="2"/>
    <n v="290.81"/>
    <n v="0"/>
    <n v="581.62"/>
    <n v="340"/>
    <n v="241.62"/>
    <s v="Bank Transfer"/>
    <x v="1"/>
  </r>
  <r>
    <x v="359"/>
    <x v="27"/>
    <s v="Mia Wilson"/>
    <x v="5"/>
    <s v="Europe"/>
    <x v="7"/>
    <x v="1"/>
    <n v="4"/>
    <n v="414.42"/>
    <n v="0.05"/>
    <n v="1574.8"/>
    <n v="1120"/>
    <n v="454.8"/>
    <s v="Debit Card"/>
    <x v="1"/>
  </r>
  <r>
    <x v="360"/>
    <x v="232"/>
    <s v="Drew Thomas"/>
    <x v="6"/>
    <s v="North America"/>
    <x v="0"/>
    <x v="0"/>
    <n v="2"/>
    <n v="263.2"/>
    <n v="0.05"/>
    <n v="500.08"/>
    <n v="340"/>
    <n v="160.08000000000001"/>
    <s v="Credit Card"/>
    <x v="1"/>
  </r>
  <r>
    <x v="361"/>
    <x v="199"/>
    <s v="Chris Taylor"/>
    <x v="0"/>
    <s v="Europe"/>
    <x v="2"/>
    <x v="1"/>
    <n v="5"/>
    <n v="116.98"/>
    <n v="0"/>
    <n v="584.9"/>
    <n v="300"/>
    <n v="284.89999999999998"/>
    <s v="Bank Transfer"/>
    <x v="2"/>
  </r>
  <r>
    <x v="362"/>
    <x v="232"/>
    <s v="Liam Clark"/>
    <x v="4"/>
    <s v="Africa"/>
    <x v="0"/>
    <x v="0"/>
    <n v="2"/>
    <n v="272.88"/>
    <n v="0"/>
    <n v="545.76"/>
    <n v="340"/>
    <n v="205.76"/>
    <s v="Credit Card"/>
    <x v="1"/>
  </r>
  <r>
    <x v="363"/>
    <x v="35"/>
    <s v="Riley Smith"/>
    <x v="2"/>
    <s v="Africa"/>
    <x v="5"/>
    <x v="1"/>
    <n v="6"/>
    <n v="75.08"/>
    <n v="0.1"/>
    <n v="405.43"/>
    <n v="240"/>
    <n v="165.43"/>
    <s v="Debit Card"/>
    <x v="1"/>
  </r>
  <r>
    <x v="364"/>
    <x v="233"/>
    <s v="Drew Taylor"/>
    <x v="1"/>
    <s v="Asia"/>
    <x v="2"/>
    <x v="1"/>
    <n v="1"/>
    <n v="118.19"/>
    <n v="0.05"/>
    <n v="112.28"/>
    <n v="60"/>
    <n v="52.28"/>
    <s v="Credit Card"/>
    <x v="2"/>
  </r>
  <r>
    <x v="365"/>
    <x v="70"/>
    <s v="Sophia Davis"/>
    <x v="6"/>
    <s v="North America"/>
    <x v="2"/>
    <x v="1"/>
    <n v="4"/>
    <n v="122.02"/>
    <n v="0"/>
    <n v="488.08"/>
    <n v="240"/>
    <n v="248.08"/>
    <s v="PayPal"/>
    <x v="1"/>
  </r>
  <r>
    <x v="366"/>
    <x v="51"/>
    <s v="Avery Walker"/>
    <x v="1"/>
    <s v="Asia"/>
    <x v="4"/>
    <x v="1"/>
    <n v="3"/>
    <n v="256.74"/>
    <n v="0.05"/>
    <n v="731.71"/>
    <n v="450"/>
    <n v="281.70999999999998"/>
    <s v="PayPal"/>
    <x v="1"/>
  </r>
  <r>
    <x v="367"/>
    <x v="234"/>
    <s v="Taylor Smith"/>
    <x v="6"/>
    <s v="North America"/>
    <x v="0"/>
    <x v="0"/>
    <n v="1"/>
    <n v="285.02999999999997"/>
    <n v="0"/>
    <n v="285.02999999999997"/>
    <n v="170"/>
    <n v="115.03"/>
    <s v="Bank Transfer"/>
    <x v="2"/>
  </r>
  <r>
    <x v="368"/>
    <x v="3"/>
    <s v="Morgan Davis"/>
    <x v="4"/>
    <s v="Africa"/>
    <x v="4"/>
    <x v="1"/>
    <n v="2"/>
    <n v="243.05"/>
    <n v="0"/>
    <n v="486.1"/>
    <n v="300"/>
    <n v="186.1"/>
    <s v="Debit Card"/>
    <x v="1"/>
  </r>
  <r>
    <x v="369"/>
    <x v="67"/>
    <s v="Sophia Taylor"/>
    <x v="7"/>
    <s v="North America"/>
    <x v="3"/>
    <x v="1"/>
    <n v="6"/>
    <n v="833.46"/>
    <n v="0"/>
    <n v="5000.76"/>
    <n v="3600"/>
    <n v="1400.76"/>
    <s v="Debit Card"/>
    <x v="0"/>
  </r>
  <r>
    <x v="370"/>
    <x v="235"/>
    <s v="Liam Hall"/>
    <x v="4"/>
    <s v="Africa"/>
    <x v="3"/>
    <x v="1"/>
    <n v="2"/>
    <n v="820.59"/>
    <n v="0.05"/>
    <n v="1559.12"/>
    <n v="1200"/>
    <n v="359.12"/>
    <s v="Debit Card"/>
    <x v="1"/>
  </r>
  <r>
    <x v="371"/>
    <x v="236"/>
    <s v="Sophia Moore"/>
    <x v="7"/>
    <s v="North America"/>
    <x v="3"/>
    <x v="1"/>
    <n v="1"/>
    <n v="839.55"/>
    <n v="0"/>
    <n v="839.55"/>
    <n v="600"/>
    <n v="239.55"/>
    <s v="Bank Transfer"/>
    <x v="1"/>
  </r>
  <r>
    <x v="372"/>
    <x v="44"/>
    <s v="Alex Smith"/>
    <x v="1"/>
    <s v="Asia"/>
    <x v="4"/>
    <x v="1"/>
    <n v="5"/>
    <n v="249.03"/>
    <n v="0"/>
    <n v="1245.1500000000001"/>
    <n v="750"/>
    <n v="495.15"/>
    <s v="Credit Card"/>
    <x v="1"/>
  </r>
  <r>
    <x v="373"/>
    <x v="237"/>
    <s v="Casey Taylor"/>
    <x v="0"/>
    <s v="Europe"/>
    <x v="3"/>
    <x v="1"/>
    <n v="5"/>
    <n v="904.52"/>
    <n v="0"/>
    <n v="4522.6000000000004"/>
    <n v="3000"/>
    <n v="1522.6"/>
    <s v="Credit Card"/>
    <x v="1"/>
  </r>
  <r>
    <x v="374"/>
    <x v="170"/>
    <s v="Emma Anderson"/>
    <x v="1"/>
    <s v="Asia"/>
    <x v="3"/>
    <x v="1"/>
    <n v="3"/>
    <n v="813.75"/>
    <n v="0"/>
    <n v="2441.25"/>
    <n v="1800"/>
    <n v="641.25"/>
    <s v="PayPal"/>
    <x v="2"/>
  </r>
  <r>
    <x v="375"/>
    <x v="238"/>
    <s v="Daniel Walker"/>
    <x v="3"/>
    <s v="Oceania"/>
    <x v="4"/>
    <x v="1"/>
    <n v="1"/>
    <n v="252.5"/>
    <n v="0.1"/>
    <n v="227.25"/>
    <n v="150"/>
    <n v="77.25"/>
    <s v="Credit Card"/>
    <x v="0"/>
  </r>
  <r>
    <x v="376"/>
    <x v="90"/>
    <s v="Jamie Martin"/>
    <x v="6"/>
    <s v="North America"/>
    <x v="1"/>
    <x v="0"/>
    <n v="1"/>
    <n v="184.93"/>
    <n v="0.05"/>
    <n v="175.68"/>
    <n v="110"/>
    <n v="65.680000000000007"/>
    <s v="Credit Card"/>
    <x v="1"/>
  </r>
  <r>
    <x v="377"/>
    <x v="239"/>
    <s v="Taylor Martin"/>
    <x v="7"/>
    <s v="North America"/>
    <x v="5"/>
    <x v="1"/>
    <n v="2"/>
    <n v="75.13"/>
    <n v="0"/>
    <n v="150.26"/>
    <n v="80"/>
    <n v="70.260000000000005"/>
    <s v="Debit Card"/>
    <x v="2"/>
  </r>
  <r>
    <x v="378"/>
    <x v="240"/>
    <s v="Avery Clark"/>
    <x v="0"/>
    <s v="Europe"/>
    <x v="1"/>
    <x v="0"/>
    <n v="3"/>
    <n v="195.41"/>
    <n v="0.15"/>
    <n v="498.3"/>
    <n v="330"/>
    <n v="168.3"/>
    <s v="Credit Card"/>
    <x v="0"/>
  </r>
  <r>
    <x v="379"/>
    <x v="123"/>
    <s v="Jordan Taylor"/>
    <x v="2"/>
    <s v="Africa"/>
    <x v="5"/>
    <x v="1"/>
    <n v="3"/>
    <n v="77.569999999999993"/>
    <n v="0.05"/>
    <n v="221.07"/>
    <n v="120"/>
    <n v="101.07"/>
    <s v="PayPal"/>
    <x v="1"/>
  </r>
  <r>
    <x v="380"/>
    <x v="109"/>
    <s v="Jordan Walker"/>
    <x v="6"/>
    <s v="North America"/>
    <x v="3"/>
    <x v="1"/>
    <n v="3"/>
    <n v="865.6"/>
    <n v="0.05"/>
    <n v="2466.96"/>
    <n v="1800"/>
    <n v="666.96"/>
    <s v="Credit Card"/>
    <x v="1"/>
  </r>
  <r>
    <x v="381"/>
    <x v="109"/>
    <s v="Morgan Johnson"/>
    <x v="4"/>
    <s v="Africa"/>
    <x v="4"/>
    <x v="1"/>
    <n v="1"/>
    <n v="228.21"/>
    <n v="0.15"/>
    <n v="193.98"/>
    <n v="150"/>
    <n v="43.98"/>
    <s v="Credit Card"/>
    <x v="1"/>
  </r>
  <r>
    <x v="382"/>
    <x v="241"/>
    <s v="Morgan Moore"/>
    <x v="0"/>
    <s v="Europe"/>
    <x v="4"/>
    <x v="1"/>
    <n v="1"/>
    <n v="257.88"/>
    <n v="0.05"/>
    <n v="244.99"/>
    <n v="150"/>
    <n v="94.99"/>
    <s v="PayPal"/>
    <x v="1"/>
  </r>
  <r>
    <x v="383"/>
    <x v="33"/>
    <s v="Ethan Brown"/>
    <x v="2"/>
    <s v="Africa"/>
    <x v="1"/>
    <x v="0"/>
    <n v="3"/>
    <n v="198.85"/>
    <n v="0.05"/>
    <n v="566.72"/>
    <n v="330"/>
    <n v="236.72"/>
    <s v="PayPal"/>
    <x v="1"/>
  </r>
  <r>
    <x v="384"/>
    <x v="231"/>
    <s v="Olivia Clark"/>
    <x v="0"/>
    <s v="Europe"/>
    <x v="0"/>
    <x v="0"/>
    <n v="2"/>
    <n v="296.87"/>
    <n v="0"/>
    <n v="593.74"/>
    <n v="340"/>
    <n v="253.74"/>
    <s v="Bank Transfer"/>
    <x v="1"/>
  </r>
  <r>
    <x v="385"/>
    <x v="242"/>
    <s v="Daniel Young"/>
    <x v="4"/>
    <s v="Africa"/>
    <x v="1"/>
    <x v="0"/>
    <n v="3"/>
    <n v="181.74"/>
    <n v="0.1"/>
    <n v="490.7"/>
    <n v="330"/>
    <n v="160.69999999999999"/>
    <s v="Credit Card"/>
    <x v="1"/>
  </r>
  <r>
    <x v="386"/>
    <x v="48"/>
    <s v="Alex Clark"/>
    <x v="5"/>
    <s v="Europe"/>
    <x v="1"/>
    <x v="0"/>
    <n v="5"/>
    <n v="190.99"/>
    <n v="0"/>
    <n v="954.95"/>
    <n v="550"/>
    <n v="404.95"/>
    <s v="Debit Card"/>
    <x v="1"/>
  </r>
  <r>
    <x v="387"/>
    <x v="63"/>
    <s v="Noah Brown"/>
    <x v="7"/>
    <s v="North America"/>
    <x v="6"/>
    <x v="0"/>
    <n v="2"/>
    <n v="320.72000000000003"/>
    <n v="0.05"/>
    <n v="609.37"/>
    <n v="400"/>
    <n v="209.37"/>
    <s v="Debit Card"/>
    <x v="2"/>
  </r>
  <r>
    <x v="388"/>
    <x v="243"/>
    <s v="Jamie Clark"/>
    <x v="2"/>
    <s v="Africa"/>
    <x v="1"/>
    <x v="0"/>
    <n v="1"/>
    <n v="203.24"/>
    <n v="0"/>
    <n v="203.24"/>
    <n v="110"/>
    <n v="93.24"/>
    <s v="Debit Card"/>
    <x v="1"/>
  </r>
  <r>
    <x v="389"/>
    <x v="244"/>
    <s v="Jordan Walker"/>
    <x v="6"/>
    <s v="North America"/>
    <x v="6"/>
    <x v="0"/>
    <n v="4"/>
    <n v="342.02"/>
    <n v="0"/>
    <n v="1368.08"/>
    <n v="800"/>
    <n v="568.08000000000004"/>
    <s v="PayPal"/>
    <x v="2"/>
  </r>
  <r>
    <x v="390"/>
    <x v="245"/>
    <s v="Ethan Johnson"/>
    <x v="7"/>
    <s v="North America"/>
    <x v="1"/>
    <x v="0"/>
    <n v="2"/>
    <n v="203.63"/>
    <n v="0.05"/>
    <n v="386.9"/>
    <n v="220"/>
    <n v="166.9"/>
    <s v="Debit Card"/>
    <x v="2"/>
  </r>
  <r>
    <x v="391"/>
    <x v="49"/>
    <s v="Morgan Lewis"/>
    <x v="6"/>
    <s v="North America"/>
    <x v="0"/>
    <x v="0"/>
    <n v="2"/>
    <n v="263.26"/>
    <n v="0.05"/>
    <n v="500.19"/>
    <n v="340"/>
    <n v="160.19"/>
    <s v="Credit Card"/>
    <x v="2"/>
  </r>
  <r>
    <x v="392"/>
    <x v="43"/>
    <s v="Olivia Martin"/>
    <x v="6"/>
    <s v="North America"/>
    <x v="3"/>
    <x v="1"/>
    <n v="5"/>
    <n v="864.56"/>
    <n v="0"/>
    <n v="4322.8"/>
    <n v="3000"/>
    <n v="1322.8"/>
    <s v="PayPal"/>
    <x v="2"/>
  </r>
  <r>
    <x v="393"/>
    <x v="164"/>
    <s v="Chris Lewis"/>
    <x v="3"/>
    <s v="Oceania"/>
    <x v="5"/>
    <x v="1"/>
    <n v="2"/>
    <n v="71.33"/>
    <n v="0.1"/>
    <n v="128.38999999999999"/>
    <n v="80"/>
    <n v="48.39"/>
    <s v="Debit Card"/>
    <x v="2"/>
  </r>
  <r>
    <x v="394"/>
    <x v="246"/>
    <s v="Noah Anderson"/>
    <x v="4"/>
    <s v="Africa"/>
    <x v="0"/>
    <x v="0"/>
    <n v="2"/>
    <n v="289.47000000000003"/>
    <n v="0.1"/>
    <n v="521.04999999999995"/>
    <n v="340"/>
    <n v="181.05"/>
    <s v="PayPal"/>
    <x v="1"/>
  </r>
  <r>
    <x v="395"/>
    <x v="111"/>
    <s v="Cameron Taylor"/>
    <x v="7"/>
    <s v="North America"/>
    <x v="7"/>
    <x v="1"/>
    <n v="5"/>
    <n v="404.6"/>
    <n v="0.1"/>
    <n v="1820.7"/>
    <n v="1400"/>
    <n v="420.7"/>
    <s v="Debit Card"/>
    <x v="1"/>
  </r>
  <r>
    <x v="396"/>
    <x v="74"/>
    <s v="Liam Brown"/>
    <x v="6"/>
    <s v="North America"/>
    <x v="6"/>
    <x v="0"/>
    <n v="4"/>
    <n v="323.32"/>
    <n v="0.15"/>
    <n v="1099.29"/>
    <n v="800"/>
    <n v="299.29000000000002"/>
    <s v="Debit Card"/>
    <x v="1"/>
  </r>
  <r>
    <x v="397"/>
    <x v="247"/>
    <s v="Liam Anderson"/>
    <x v="3"/>
    <s v="Oceania"/>
    <x v="0"/>
    <x v="0"/>
    <n v="2"/>
    <n v="275.01"/>
    <n v="0.1"/>
    <n v="495.02"/>
    <n v="340"/>
    <n v="155.02000000000001"/>
    <s v="Debit Card"/>
    <x v="2"/>
  </r>
  <r>
    <x v="398"/>
    <x v="248"/>
    <s v="Alex Hall"/>
    <x v="7"/>
    <s v="North America"/>
    <x v="0"/>
    <x v="0"/>
    <n v="3"/>
    <n v="267.02"/>
    <n v="0.05"/>
    <n v="761.01"/>
    <n v="510"/>
    <n v="251.01"/>
    <s v="Credit Card"/>
    <x v="1"/>
  </r>
  <r>
    <x v="399"/>
    <x v="249"/>
    <s v="Sam Hall"/>
    <x v="7"/>
    <s v="North America"/>
    <x v="4"/>
    <x v="1"/>
    <n v="1"/>
    <n v="244.2"/>
    <n v="0"/>
    <n v="244.2"/>
    <n v="150"/>
    <n v="94.2"/>
    <s v="Credit Card"/>
    <x v="1"/>
  </r>
  <r>
    <x v="400"/>
    <x v="200"/>
    <s v="Cameron Young"/>
    <x v="5"/>
    <s v="Europe"/>
    <x v="6"/>
    <x v="0"/>
    <n v="1"/>
    <n v="334.79"/>
    <n v="0.15"/>
    <n v="284.57"/>
    <n v="200"/>
    <n v="84.57"/>
    <s v="Bank Transfer"/>
    <x v="0"/>
  </r>
  <r>
    <x v="401"/>
    <x v="26"/>
    <s v="Sophia Walker"/>
    <x v="7"/>
    <s v="North America"/>
    <x v="1"/>
    <x v="0"/>
    <n v="3"/>
    <n v="192.85"/>
    <n v="0"/>
    <n v="578.54999999999995"/>
    <n v="330"/>
    <n v="248.55"/>
    <s v="PayPal"/>
    <x v="2"/>
  </r>
  <r>
    <x v="402"/>
    <x v="250"/>
    <s v="Olivia Anderson"/>
    <x v="4"/>
    <s v="Africa"/>
    <x v="1"/>
    <x v="0"/>
    <n v="3"/>
    <n v="188.83"/>
    <n v="0"/>
    <n v="566.49"/>
    <n v="330"/>
    <n v="236.49"/>
    <s v="Credit Card"/>
    <x v="2"/>
  </r>
  <r>
    <x v="403"/>
    <x v="115"/>
    <s v="Sam Moore"/>
    <x v="7"/>
    <s v="North America"/>
    <x v="3"/>
    <x v="1"/>
    <n v="6"/>
    <n v="875.05"/>
    <n v="0.1"/>
    <n v="4725.2700000000004"/>
    <n v="3600"/>
    <n v="1125.27"/>
    <s v="Bank Transfer"/>
    <x v="1"/>
  </r>
  <r>
    <x v="404"/>
    <x v="251"/>
    <s v="Cameron Thomas"/>
    <x v="4"/>
    <s v="Africa"/>
    <x v="2"/>
    <x v="1"/>
    <n v="3"/>
    <n v="114.16"/>
    <n v="0"/>
    <n v="342.48"/>
    <n v="180"/>
    <n v="162.47999999999999"/>
    <s v="Bank Transfer"/>
    <x v="1"/>
  </r>
  <r>
    <x v="405"/>
    <x v="169"/>
    <s v="Noah Walker"/>
    <x v="1"/>
    <s v="Asia"/>
    <x v="3"/>
    <x v="1"/>
    <n v="2"/>
    <n v="894.97"/>
    <n v="0"/>
    <n v="1789.94"/>
    <n v="1200"/>
    <n v="589.94000000000005"/>
    <s v="Credit Card"/>
    <x v="0"/>
  </r>
  <r>
    <x v="406"/>
    <x v="231"/>
    <s v="Sophia Johnson"/>
    <x v="5"/>
    <s v="Europe"/>
    <x v="2"/>
    <x v="1"/>
    <n v="1"/>
    <n v="126.54"/>
    <n v="0"/>
    <n v="126.54"/>
    <n v="60"/>
    <n v="66.540000000000006"/>
    <s v="Credit Card"/>
    <x v="0"/>
  </r>
  <r>
    <x v="407"/>
    <x v="133"/>
    <s v="Olivia Walker"/>
    <x v="3"/>
    <s v="Oceania"/>
    <x v="3"/>
    <x v="1"/>
    <n v="3"/>
    <n v="867.79"/>
    <n v="0.1"/>
    <n v="2343.0300000000002"/>
    <n v="1800"/>
    <n v="543.03"/>
    <s v="Debit Card"/>
    <x v="1"/>
  </r>
  <r>
    <x v="408"/>
    <x v="252"/>
    <s v="Taylor Taylor"/>
    <x v="0"/>
    <s v="Europe"/>
    <x v="1"/>
    <x v="0"/>
    <n v="5"/>
    <n v="191.53"/>
    <n v="0"/>
    <n v="957.65"/>
    <n v="550"/>
    <n v="407.65"/>
    <s v="Bank Transfer"/>
    <x v="2"/>
  </r>
  <r>
    <x v="409"/>
    <x v="14"/>
    <s v="Sam Johnson"/>
    <x v="0"/>
    <s v="Europe"/>
    <x v="2"/>
    <x v="1"/>
    <n v="2"/>
    <n v="119.46"/>
    <n v="0"/>
    <n v="238.92"/>
    <n v="120"/>
    <n v="118.92"/>
    <s v="Bank Transfer"/>
    <x v="1"/>
  </r>
  <r>
    <x v="410"/>
    <x v="152"/>
    <s v="Morgan Thomas"/>
    <x v="3"/>
    <s v="Oceania"/>
    <x v="5"/>
    <x v="1"/>
    <n v="1"/>
    <n v="71.72"/>
    <n v="0"/>
    <n v="71.72"/>
    <n v="40"/>
    <n v="31.72"/>
    <s v="Debit Card"/>
    <x v="1"/>
  </r>
  <r>
    <x v="411"/>
    <x v="126"/>
    <s v="Chris Walker"/>
    <x v="3"/>
    <s v="Oceania"/>
    <x v="1"/>
    <x v="0"/>
    <n v="2"/>
    <n v="197.08"/>
    <n v="0"/>
    <n v="394.16"/>
    <n v="220"/>
    <n v="174.16"/>
    <s v="Debit Card"/>
    <x v="2"/>
  </r>
  <r>
    <x v="412"/>
    <x v="39"/>
    <s v="Morgan Martin"/>
    <x v="2"/>
    <s v="Africa"/>
    <x v="0"/>
    <x v="0"/>
    <n v="1"/>
    <n v="282.89"/>
    <n v="0"/>
    <n v="282.89"/>
    <n v="170"/>
    <n v="112.89"/>
    <s v="Debit Card"/>
    <x v="2"/>
  </r>
  <r>
    <x v="413"/>
    <x v="253"/>
    <s v="Riley Walker"/>
    <x v="7"/>
    <s v="North America"/>
    <x v="0"/>
    <x v="0"/>
    <n v="3"/>
    <n v="268.48"/>
    <n v="0"/>
    <n v="805.44"/>
    <n v="510"/>
    <n v="295.44"/>
    <s v="Credit Card"/>
    <x v="1"/>
  </r>
  <r>
    <x v="414"/>
    <x v="133"/>
    <s v="Ethan Lewis"/>
    <x v="7"/>
    <s v="North America"/>
    <x v="5"/>
    <x v="1"/>
    <n v="3"/>
    <n v="76.95"/>
    <n v="0.05"/>
    <n v="219.31"/>
    <n v="120"/>
    <n v="99.31"/>
    <s v="Debit Card"/>
    <x v="1"/>
  </r>
  <r>
    <x v="415"/>
    <x v="126"/>
    <s v="Jamie Brown"/>
    <x v="1"/>
    <s v="Asia"/>
    <x v="3"/>
    <x v="1"/>
    <n v="1"/>
    <n v="836.68"/>
    <n v="0.05"/>
    <n v="794.85"/>
    <n v="600"/>
    <n v="194.85"/>
    <s v="Bank Transfer"/>
    <x v="1"/>
  </r>
  <r>
    <x v="416"/>
    <x v="32"/>
    <s v="Avery Taylor"/>
    <x v="1"/>
    <s v="Asia"/>
    <x v="5"/>
    <x v="1"/>
    <n v="2"/>
    <n v="77.63"/>
    <n v="0"/>
    <n v="155.26"/>
    <n v="80"/>
    <n v="75.260000000000005"/>
    <s v="Credit Card"/>
    <x v="2"/>
  </r>
  <r>
    <x v="417"/>
    <x v="128"/>
    <s v="Casey Davis"/>
    <x v="0"/>
    <s v="Europe"/>
    <x v="1"/>
    <x v="0"/>
    <n v="4"/>
    <n v="182.68"/>
    <n v="0"/>
    <n v="730.72"/>
    <n v="440"/>
    <n v="290.72000000000003"/>
    <s v="Credit Card"/>
    <x v="1"/>
  </r>
  <r>
    <x v="418"/>
    <x v="121"/>
    <s v="Emma Wilson"/>
    <x v="4"/>
    <s v="Africa"/>
    <x v="4"/>
    <x v="1"/>
    <n v="1"/>
    <n v="255.72"/>
    <n v="0"/>
    <n v="255.72"/>
    <n v="150"/>
    <n v="105.72"/>
    <s v="Bank Transfer"/>
    <x v="0"/>
  </r>
  <r>
    <x v="419"/>
    <x v="254"/>
    <s v="Avery Thomas"/>
    <x v="2"/>
    <s v="Africa"/>
    <x v="3"/>
    <x v="1"/>
    <n v="5"/>
    <n v="843.44"/>
    <n v="0.15"/>
    <n v="3584.62"/>
    <n v="3000"/>
    <n v="584.62"/>
    <s v="Bank Transfer"/>
    <x v="1"/>
  </r>
  <r>
    <x v="420"/>
    <x v="5"/>
    <s v="Daniel Lewis"/>
    <x v="5"/>
    <s v="Europe"/>
    <x v="3"/>
    <x v="1"/>
    <n v="3"/>
    <n v="817.99"/>
    <n v="0"/>
    <n v="2453.9699999999998"/>
    <n v="1800"/>
    <n v="653.97"/>
    <s v="Credit Card"/>
    <x v="2"/>
  </r>
  <r>
    <x v="421"/>
    <x v="68"/>
    <s v="Mia Smith"/>
    <x v="7"/>
    <s v="North America"/>
    <x v="2"/>
    <x v="1"/>
    <n v="6"/>
    <n v="114.63"/>
    <n v="0"/>
    <n v="687.78"/>
    <n v="360"/>
    <n v="327.78"/>
    <s v="PayPal"/>
    <x v="0"/>
  </r>
  <r>
    <x v="422"/>
    <x v="255"/>
    <s v="Olivia Davis"/>
    <x v="4"/>
    <s v="Africa"/>
    <x v="2"/>
    <x v="1"/>
    <n v="1"/>
    <n v="128.30000000000001"/>
    <n v="0"/>
    <n v="128.30000000000001"/>
    <n v="60"/>
    <n v="68.3"/>
    <s v="Credit Card"/>
    <x v="0"/>
  </r>
  <r>
    <x v="423"/>
    <x v="64"/>
    <s v="Sophia Moore"/>
    <x v="7"/>
    <s v="North America"/>
    <x v="2"/>
    <x v="1"/>
    <n v="5"/>
    <n v="120.28"/>
    <n v="0"/>
    <n v="601.4"/>
    <n v="300"/>
    <n v="301.39999999999998"/>
    <s v="Credit Card"/>
    <x v="2"/>
  </r>
  <r>
    <x v="424"/>
    <x v="52"/>
    <s v="Sophia Anderson"/>
    <x v="5"/>
    <s v="Europe"/>
    <x v="7"/>
    <x v="1"/>
    <n v="3"/>
    <n v="411.5"/>
    <n v="0"/>
    <n v="1234.5"/>
    <n v="840"/>
    <n v="394.5"/>
    <s v="PayPal"/>
    <x v="0"/>
  </r>
  <r>
    <x v="425"/>
    <x v="167"/>
    <s v="Ethan Davis"/>
    <x v="0"/>
    <s v="Europe"/>
    <x v="0"/>
    <x v="0"/>
    <n v="3"/>
    <n v="277.08999999999997"/>
    <n v="0.05"/>
    <n v="789.71"/>
    <n v="510"/>
    <n v="279.70999999999998"/>
    <s v="PayPal"/>
    <x v="1"/>
  </r>
  <r>
    <x v="426"/>
    <x v="153"/>
    <s v="Ethan Thomas"/>
    <x v="6"/>
    <s v="North America"/>
    <x v="6"/>
    <x v="0"/>
    <n v="1"/>
    <n v="337.26"/>
    <n v="0.05"/>
    <n v="320.39999999999998"/>
    <n v="200"/>
    <n v="120.4"/>
    <s v="PayPal"/>
    <x v="1"/>
  </r>
  <r>
    <x v="427"/>
    <x v="256"/>
    <s v="Sophia Smith"/>
    <x v="3"/>
    <s v="Oceania"/>
    <x v="3"/>
    <x v="1"/>
    <n v="3"/>
    <n v="815.21"/>
    <n v="0.2"/>
    <n v="1956.5"/>
    <n v="1800"/>
    <n v="156.5"/>
    <s v="Bank Transfer"/>
    <x v="2"/>
  </r>
  <r>
    <x v="428"/>
    <x v="196"/>
    <s v="Noah Hall"/>
    <x v="1"/>
    <s v="Asia"/>
    <x v="5"/>
    <x v="1"/>
    <n v="1"/>
    <n v="75.67"/>
    <n v="0.05"/>
    <n v="71.89"/>
    <n v="40"/>
    <n v="31.89"/>
    <s v="Credit Card"/>
    <x v="2"/>
  </r>
  <r>
    <x v="429"/>
    <x v="97"/>
    <s v="Taylor Lewis"/>
    <x v="5"/>
    <s v="Europe"/>
    <x v="4"/>
    <x v="1"/>
    <n v="4"/>
    <n v="257.98"/>
    <n v="0.1"/>
    <n v="928.73"/>
    <n v="600"/>
    <n v="328.73"/>
    <s v="Debit Card"/>
    <x v="1"/>
  </r>
  <r>
    <x v="430"/>
    <x v="257"/>
    <s v="Riley Lewis"/>
    <x v="4"/>
    <s v="Africa"/>
    <x v="3"/>
    <x v="1"/>
    <n v="1"/>
    <n v="871.94"/>
    <n v="0.15"/>
    <n v="741.15"/>
    <n v="600"/>
    <n v="141.15"/>
    <s v="Credit Card"/>
    <x v="1"/>
  </r>
  <r>
    <x v="431"/>
    <x v="258"/>
    <s v="Liam Hall"/>
    <x v="4"/>
    <s v="Africa"/>
    <x v="1"/>
    <x v="0"/>
    <n v="1"/>
    <n v="195.72"/>
    <n v="0.15"/>
    <n v="166.36"/>
    <n v="110"/>
    <n v="56.36"/>
    <s v="Bank Transfer"/>
    <x v="1"/>
  </r>
  <r>
    <x v="432"/>
    <x v="207"/>
    <s v="Cameron Brown"/>
    <x v="5"/>
    <s v="Europe"/>
    <x v="4"/>
    <x v="1"/>
    <n v="3"/>
    <n v="252.96"/>
    <n v="0"/>
    <n v="758.88"/>
    <n v="450"/>
    <n v="308.88"/>
    <s v="Credit Card"/>
    <x v="1"/>
  </r>
  <r>
    <x v="433"/>
    <x v="250"/>
    <s v="Noah Davis"/>
    <x v="3"/>
    <s v="Oceania"/>
    <x v="4"/>
    <x v="1"/>
    <n v="3"/>
    <n v="252.21"/>
    <n v="0.15"/>
    <n v="643.14"/>
    <n v="450"/>
    <n v="193.14"/>
    <s v="Credit Card"/>
    <x v="1"/>
  </r>
  <r>
    <x v="434"/>
    <x v="188"/>
    <s v="Sam Johnson"/>
    <x v="6"/>
    <s v="North America"/>
    <x v="3"/>
    <x v="1"/>
    <n v="4"/>
    <n v="816.9"/>
    <n v="0.15"/>
    <n v="2777.46"/>
    <n v="2400"/>
    <n v="377.46"/>
    <s v="Credit Card"/>
    <x v="1"/>
  </r>
  <r>
    <x v="435"/>
    <x v="259"/>
    <s v="Emma Wilson"/>
    <x v="5"/>
    <s v="Europe"/>
    <x v="5"/>
    <x v="1"/>
    <n v="1"/>
    <n v="71.98"/>
    <n v="0.15"/>
    <n v="61.18"/>
    <n v="40"/>
    <n v="21.18"/>
    <s v="Debit Card"/>
    <x v="0"/>
  </r>
  <r>
    <x v="436"/>
    <x v="102"/>
    <s v="Riley Walker"/>
    <x v="1"/>
    <s v="Asia"/>
    <x v="1"/>
    <x v="0"/>
    <n v="1"/>
    <n v="185.62"/>
    <n v="0"/>
    <n v="185.62"/>
    <n v="110"/>
    <n v="75.62"/>
    <s v="Credit Card"/>
    <x v="1"/>
  </r>
  <r>
    <x v="437"/>
    <x v="31"/>
    <s v="Morgan Young"/>
    <x v="0"/>
    <s v="Europe"/>
    <x v="3"/>
    <x v="1"/>
    <n v="2"/>
    <n v="915.28"/>
    <n v="0"/>
    <n v="1830.56"/>
    <n v="1200"/>
    <n v="630.55999999999995"/>
    <s v="Bank Transfer"/>
    <x v="1"/>
  </r>
  <r>
    <x v="438"/>
    <x v="185"/>
    <s v="Noah Hall"/>
    <x v="3"/>
    <s v="Oceania"/>
    <x v="1"/>
    <x v="0"/>
    <n v="1"/>
    <n v="187.97"/>
    <n v="0.05"/>
    <n v="178.57"/>
    <n v="110"/>
    <n v="68.569999999999993"/>
    <s v="Credit Card"/>
    <x v="2"/>
  </r>
  <r>
    <x v="439"/>
    <x v="156"/>
    <s v="Olivia Smith"/>
    <x v="2"/>
    <s v="Africa"/>
    <x v="1"/>
    <x v="0"/>
    <n v="3"/>
    <n v="192.55"/>
    <n v="0"/>
    <n v="577.65"/>
    <n v="330"/>
    <n v="247.65"/>
    <s v="Debit Card"/>
    <x v="1"/>
  </r>
  <r>
    <x v="440"/>
    <x v="260"/>
    <s v="Liam Johnson"/>
    <x v="3"/>
    <s v="Oceania"/>
    <x v="7"/>
    <x v="1"/>
    <n v="2"/>
    <n v="409.41"/>
    <n v="0"/>
    <n v="818.82"/>
    <n v="560"/>
    <n v="258.82"/>
    <s v="Bank Transfer"/>
    <x v="2"/>
  </r>
  <r>
    <x v="441"/>
    <x v="261"/>
    <s v="Cameron Thomas"/>
    <x v="3"/>
    <s v="Oceania"/>
    <x v="4"/>
    <x v="1"/>
    <n v="2"/>
    <n v="258.87"/>
    <n v="0.1"/>
    <n v="465.97"/>
    <n v="300"/>
    <n v="165.97"/>
    <s v="Credit Card"/>
    <x v="1"/>
  </r>
  <r>
    <x v="442"/>
    <x v="239"/>
    <s v="Avery Moore"/>
    <x v="4"/>
    <s v="Africa"/>
    <x v="1"/>
    <x v="0"/>
    <n v="3"/>
    <n v="197.47"/>
    <n v="0.05"/>
    <n v="562.79"/>
    <n v="330"/>
    <n v="232.79"/>
    <s v="PayPal"/>
    <x v="1"/>
  </r>
  <r>
    <x v="443"/>
    <x v="80"/>
    <s v="Olivia Smith"/>
    <x v="0"/>
    <s v="Europe"/>
    <x v="2"/>
    <x v="1"/>
    <n v="4"/>
    <n v="117.06"/>
    <n v="0"/>
    <n v="468.24"/>
    <n v="240"/>
    <n v="228.24"/>
    <s v="Credit Card"/>
    <x v="2"/>
  </r>
  <r>
    <x v="444"/>
    <x v="8"/>
    <s v="Mia Clark"/>
    <x v="7"/>
    <s v="North America"/>
    <x v="6"/>
    <x v="0"/>
    <n v="3"/>
    <n v="332.1"/>
    <n v="0"/>
    <n v="996.3"/>
    <n v="600"/>
    <n v="396.3"/>
    <s v="Credit Card"/>
    <x v="2"/>
  </r>
  <r>
    <x v="445"/>
    <x v="39"/>
    <s v="Liam Taylor"/>
    <x v="4"/>
    <s v="Africa"/>
    <x v="6"/>
    <x v="0"/>
    <n v="4"/>
    <n v="325.93"/>
    <n v="0.05"/>
    <n v="1238.53"/>
    <n v="800"/>
    <n v="438.53"/>
    <s v="Debit Card"/>
    <x v="2"/>
  </r>
  <r>
    <x v="446"/>
    <x v="229"/>
    <s v="Taylor Clark"/>
    <x v="1"/>
    <s v="Asia"/>
    <x v="6"/>
    <x v="0"/>
    <n v="1"/>
    <n v="342.45"/>
    <n v="0"/>
    <n v="342.45"/>
    <n v="200"/>
    <n v="142.44999999999999"/>
    <s v="Credit Card"/>
    <x v="2"/>
  </r>
  <r>
    <x v="447"/>
    <x v="179"/>
    <s v="Daniel Anderson"/>
    <x v="3"/>
    <s v="Oceania"/>
    <x v="0"/>
    <x v="0"/>
    <n v="1"/>
    <n v="269.13"/>
    <n v="0.05"/>
    <n v="255.67"/>
    <n v="170"/>
    <n v="85.67"/>
    <s v="Debit Card"/>
    <x v="2"/>
  </r>
  <r>
    <x v="448"/>
    <x v="207"/>
    <s v="Morgan Smith"/>
    <x v="3"/>
    <s v="Oceania"/>
    <x v="7"/>
    <x v="1"/>
    <n v="4"/>
    <n v="439.96"/>
    <n v="0.05"/>
    <n v="1671.85"/>
    <n v="1120"/>
    <n v="551.85"/>
    <s v="Debit Card"/>
    <x v="1"/>
  </r>
  <r>
    <x v="449"/>
    <x v="262"/>
    <s v="Emma Clark"/>
    <x v="1"/>
    <s v="Asia"/>
    <x v="7"/>
    <x v="1"/>
    <n v="5"/>
    <n v="432.3"/>
    <n v="0.15"/>
    <n v="1837.28"/>
    <n v="1400"/>
    <n v="437.28"/>
    <s v="Debit Card"/>
    <x v="1"/>
  </r>
  <r>
    <x v="450"/>
    <x v="211"/>
    <s v="Olivia Hall"/>
    <x v="6"/>
    <s v="North America"/>
    <x v="0"/>
    <x v="0"/>
    <n v="1"/>
    <n v="276.62"/>
    <n v="0.05"/>
    <n v="262.79000000000002"/>
    <n v="170"/>
    <n v="92.79"/>
    <s v="PayPal"/>
    <x v="2"/>
  </r>
  <r>
    <x v="451"/>
    <x v="222"/>
    <s v="Liam Anderson"/>
    <x v="2"/>
    <s v="Africa"/>
    <x v="6"/>
    <x v="0"/>
    <n v="2"/>
    <n v="340.98"/>
    <n v="0.05"/>
    <n v="647.86"/>
    <n v="400"/>
    <n v="247.86"/>
    <s v="Bank Transfer"/>
    <x v="1"/>
  </r>
  <r>
    <x v="452"/>
    <x v="196"/>
    <s v="Daniel Hall"/>
    <x v="6"/>
    <s v="North America"/>
    <x v="5"/>
    <x v="1"/>
    <n v="2"/>
    <n v="71.739999999999995"/>
    <n v="0.05"/>
    <n v="136.31"/>
    <n v="80"/>
    <n v="56.31"/>
    <s v="Debit Card"/>
    <x v="1"/>
  </r>
  <r>
    <x v="453"/>
    <x v="238"/>
    <s v="Emma Lewis"/>
    <x v="3"/>
    <s v="Oceania"/>
    <x v="3"/>
    <x v="1"/>
    <n v="4"/>
    <n v="831.31"/>
    <n v="0.1"/>
    <n v="2992.72"/>
    <n v="2400"/>
    <n v="592.72"/>
    <s v="Bank Transfer"/>
    <x v="1"/>
  </r>
  <r>
    <x v="454"/>
    <x v="172"/>
    <s v="Sophia Clark"/>
    <x v="5"/>
    <s v="Europe"/>
    <x v="6"/>
    <x v="0"/>
    <n v="3"/>
    <n v="317.19"/>
    <n v="0.05"/>
    <n v="903.99"/>
    <n v="600"/>
    <n v="303.99"/>
    <s v="Debit Card"/>
    <x v="2"/>
  </r>
  <r>
    <x v="455"/>
    <x v="222"/>
    <s v="Jamie Wilson"/>
    <x v="4"/>
    <s v="Africa"/>
    <x v="0"/>
    <x v="0"/>
    <n v="4"/>
    <n v="274.33"/>
    <n v="0.15"/>
    <n v="932.72"/>
    <n v="680"/>
    <n v="252.72"/>
    <s v="Bank Transfer"/>
    <x v="1"/>
  </r>
  <r>
    <x v="456"/>
    <x v="104"/>
    <s v="Sophia Johnson"/>
    <x v="6"/>
    <s v="North America"/>
    <x v="3"/>
    <x v="1"/>
    <n v="1"/>
    <n v="810.83"/>
    <n v="0"/>
    <n v="810.83"/>
    <n v="600"/>
    <n v="210.83"/>
    <s v="Bank Transfer"/>
    <x v="0"/>
  </r>
  <r>
    <x v="457"/>
    <x v="211"/>
    <s v="Jamie Anderson"/>
    <x v="5"/>
    <s v="Europe"/>
    <x v="3"/>
    <x v="1"/>
    <n v="3"/>
    <n v="840.17"/>
    <n v="0"/>
    <n v="2520.5100000000002"/>
    <n v="1800"/>
    <n v="720.51"/>
    <s v="Debit Card"/>
    <x v="1"/>
  </r>
  <r>
    <x v="458"/>
    <x v="263"/>
    <s v="Olivia Moore"/>
    <x v="7"/>
    <s v="North America"/>
    <x v="3"/>
    <x v="1"/>
    <n v="2"/>
    <n v="808.64"/>
    <n v="0.15"/>
    <n v="1374.69"/>
    <n v="1200"/>
    <n v="174.69"/>
    <s v="Credit Card"/>
    <x v="1"/>
  </r>
  <r>
    <x v="459"/>
    <x v="73"/>
    <s v="Alex Martin"/>
    <x v="7"/>
    <s v="North America"/>
    <x v="5"/>
    <x v="1"/>
    <n v="2"/>
    <n v="75.569999999999993"/>
    <n v="0"/>
    <n v="151.13999999999999"/>
    <n v="80"/>
    <n v="71.14"/>
    <s v="Credit Card"/>
    <x v="0"/>
  </r>
  <r>
    <x v="460"/>
    <x v="25"/>
    <s v="Chris Young"/>
    <x v="7"/>
    <s v="North America"/>
    <x v="5"/>
    <x v="1"/>
    <n v="1"/>
    <n v="73.59"/>
    <n v="0"/>
    <n v="73.59"/>
    <n v="40"/>
    <n v="33.590000000000003"/>
    <s v="Credit Card"/>
    <x v="0"/>
  </r>
  <r>
    <x v="461"/>
    <x v="114"/>
    <s v="Cameron Martin"/>
    <x v="3"/>
    <s v="Oceania"/>
    <x v="7"/>
    <x v="1"/>
    <n v="1"/>
    <n v="402.28"/>
    <n v="0"/>
    <n v="402.28"/>
    <n v="280"/>
    <n v="122.28"/>
    <s v="Bank Transfer"/>
    <x v="1"/>
  </r>
  <r>
    <x v="462"/>
    <x v="165"/>
    <s v="Emma Brown"/>
    <x v="5"/>
    <s v="Europe"/>
    <x v="1"/>
    <x v="0"/>
    <n v="4"/>
    <n v="181.87"/>
    <n v="0.1"/>
    <n v="654.73"/>
    <n v="440"/>
    <n v="214.73"/>
    <s v="Credit Card"/>
    <x v="2"/>
  </r>
  <r>
    <x v="463"/>
    <x v="264"/>
    <s v="Morgan Anderson"/>
    <x v="3"/>
    <s v="Oceania"/>
    <x v="7"/>
    <x v="1"/>
    <n v="4"/>
    <n v="440.36"/>
    <n v="0"/>
    <n v="1761.44"/>
    <n v="1120"/>
    <n v="641.44000000000005"/>
    <s v="Credit Card"/>
    <x v="1"/>
  </r>
  <r>
    <x v="464"/>
    <x v="191"/>
    <s v="Olivia Davis"/>
    <x v="6"/>
    <s v="North America"/>
    <x v="7"/>
    <x v="1"/>
    <n v="1"/>
    <n v="422.48"/>
    <n v="0"/>
    <n v="422.48"/>
    <n v="280"/>
    <n v="142.47999999999999"/>
    <s v="Credit Card"/>
    <x v="2"/>
  </r>
  <r>
    <x v="465"/>
    <x v="265"/>
    <s v="Casey Taylor"/>
    <x v="4"/>
    <s v="Africa"/>
    <x v="4"/>
    <x v="1"/>
    <n v="5"/>
    <n v="250.9"/>
    <n v="0"/>
    <n v="1254.5"/>
    <n v="750"/>
    <n v="504.5"/>
    <s v="PayPal"/>
    <x v="1"/>
  </r>
  <r>
    <x v="466"/>
    <x v="95"/>
    <s v="Riley Anderson"/>
    <x v="3"/>
    <s v="Oceania"/>
    <x v="5"/>
    <x v="1"/>
    <n v="3"/>
    <n v="79.760000000000005"/>
    <n v="0"/>
    <n v="239.28"/>
    <n v="120"/>
    <n v="119.28"/>
    <s v="Bank Transfer"/>
    <x v="1"/>
  </r>
  <r>
    <x v="467"/>
    <x v="63"/>
    <s v="Casey Martin"/>
    <x v="6"/>
    <s v="North America"/>
    <x v="5"/>
    <x v="1"/>
    <n v="1"/>
    <n v="79.06"/>
    <n v="0.1"/>
    <n v="71.150000000000006"/>
    <n v="40"/>
    <n v="31.15"/>
    <s v="Debit Card"/>
    <x v="1"/>
  </r>
  <r>
    <x v="468"/>
    <x v="158"/>
    <s v="Jordan Smith"/>
    <x v="5"/>
    <s v="Europe"/>
    <x v="0"/>
    <x v="0"/>
    <n v="3"/>
    <n v="293.27"/>
    <n v="0"/>
    <n v="879.81"/>
    <n v="510"/>
    <n v="369.81"/>
    <s v="Bank Transfer"/>
    <x v="2"/>
  </r>
  <r>
    <x v="469"/>
    <x v="266"/>
    <s v="Cameron Anderson"/>
    <x v="0"/>
    <s v="Europe"/>
    <x v="5"/>
    <x v="1"/>
    <n v="1"/>
    <n v="76.790000000000006"/>
    <n v="0"/>
    <n v="76.790000000000006"/>
    <n v="40"/>
    <n v="36.79"/>
    <s v="PayPal"/>
    <x v="1"/>
  </r>
  <r>
    <x v="470"/>
    <x v="214"/>
    <s v="Riley Wilson"/>
    <x v="3"/>
    <s v="Oceania"/>
    <x v="4"/>
    <x v="1"/>
    <n v="1"/>
    <n v="242.29"/>
    <n v="0.05"/>
    <n v="230.18"/>
    <n v="150"/>
    <n v="80.180000000000007"/>
    <s v="Debit Card"/>
    <x v="1"/>
  </r>
  <r>
    <x v="471"/>
    <x v="171"/>
    <s v="Taylor Walker"/>
    <x v="7"/>
    <s v="North America"/>
    <x v="6"/>
    <x v="0"/>
    <n v="5"/>
    <n v="311.98"/>
    <n v="0.1"/>
    <n v="1403.91"/>
    <n v="1000"/>
    <n v="403.91"/>
    <s v="Bank Transfer"/>
    <x v="1"/>
  </r>
  <r>
    <x v="472"/>
    <x v="106"/>
    <s v="Noah Walker"/>
    <x v="6"/>
    <s v="North America"/>
    <x v="6"/>
    <x v="0"/>
    <n v="1"/>
    <n v="328.47"/>
    <n v="0"/>
    <n v="328.47"/>
    <n v="200"/>
    <n v="128.47"/>
    <s v="PayPal"/>
    <x v="1"/>
  </r>
  <r>
    <x v="473"/>
    <x v="250"/>
    <s v="Taylor Lewis"/>
    <x v="1"/>
    <s v="Asia"/>
    <x v="0"/>
    <x v="0"/>
    <n v="3"/>
    <n v="289.19"/>
    <n v="0.1"/>
    <n v="780.81"/>
    <n v="510"/>
    <n v="270.81"/>
    <s v="Credit Card"/>
    <x v="0"/>
  </r>
  <r>
    <x v="474"/>
    <x v="267"/>
    <s v="Jamie Taylor"/>
    <x v="3"/>
    <s v="Oceania"/>
    <x v="3"/>
    <x v="1"/>
    <n v="3"/>
    <n v="841.95"/>
    <n v="0.15"/>
    <n v="2146.9699999999998"/>
    <n v="1800"/>
    <n v="346.97"/>
    <s v="Bank Transfer"/>
    <x v="2"/>
  </r>
  <r>
    <x v="475"/>
    <x v="106"/>
    <s v="Emma Brown"/>
    <x v="6"/>
    <s v="North America"/>
    <x v="6"/>
    <x v="0"/>
    <n v="4"/>
    <n v="318.85000000000002"/>
    <n v="0"/>
    <n v="1275.4000000000001"/>
    <n v="800"/>
    <n v="475.4"/>
    <s v="Bank Transfer"/>
    <x v="1"/>
  </r>
  <r>
    <x v="476"/>
    <x v="268"/>
    <s v="Chris Thomas"/>
    <x v="5"/>
    <s v="Europe"/>
    <x v="2"/>
    <x v="1"/>
    <n v="1"/>
    <n v="128.66999999999999"/>
    <n v="0.05"/>
    <n v="122.24"/>
    <n v="60"/>
    <n v="62.24"/>
    <s v="Credit Card"/>
    <x v="1"/>
  </r>
  <r>
    <x v="477"/>
    <x v="198"/>
    <s v="Noah Wilson"/>
    <x v="5"/>
    <s v="Europe"/>
    <x v="7"/>
    <x v="1"/>
    <n v="1"/>
    <n v="421.56"/>
    <n v="0"/>
    <n v="421.56"/>
    <n v="280"/>
    <n v="141.56"/>
    <s v="Credit Card"/>
    <x v="1"/>
  </r>
  <r>
    <x v="478"/>
    <x v="19"/>
    <s v="Mia Johnson"/>
    <x v="1"/>
    <s v="Asia"/>
    <x v="2"/>
    <x v="1"/>
    <n v="1"/>
    <n v="116.44"/>
    <n v="0.15"/>
    <n v="98.97"/>
    <n v="60"/>
    <n v="38.97"/>
    <s v="Debit Card"/>
    <x v="1"/>
  </r>
  <r>
    <x v="479"/>
    <x v="269"/>
    <s v="Avery Thomas"/>
    <x v="3"/>
    <s v="Oceania"/>
    <x v="2"/>
    <x v="1"/>
    <n v="1"/>
    <n v="127.05"/>
    <n v="0"/>
    <n v="127.05"/>
    <n v="60"/>
    <n v="67.05"/>
    <s v="Debit Card"/>
    <x v="1"/>
  </r>
  <r>
    <x v="480"/>
    <x v="148"/>
    <s v="Casey Wilson"/>
    <x v="6"/>
    <s v="North America"/>
    <x v="1"/>
    <x v="0"/>
    <n v="2"/>
    <n v="193.62"/>
    <n v="0.1"/>
    <n v="348.52"/>
    <n v="220"/>
    <n v="128.52000000000001"/>
    <s v="Debit Card"/>
    <x v="2"/>
  </r>
  <r>
    <x v="481"/>
    <x v="270"/>
    <s v="Noah Lewis"/>
    <x v="2"/>
    <s v="Africa"/>
    <x v="0"/>
    <x v="0"/>
    <n v="3"/>
    <n v="294.97000000000003"/>
    <n v="0"/>
    <n v="884.91"/>
    <n v="510"/>
    <n v="374.91"/>
    <s v="Credit Card"/>
    <x v="0"/>
  </r>
  <r>
    <x v="482"/>
    <x v="33"/>
    <s v="Drew Davis"/>
    <x v="7"/>
    <s v="North America"/>
    <x v="7"/>
    <x v="1"/>
    <n v="1"/>
    <n v="413.98"/>
    <n v="0.05"/>
    <n v="393.28"/>
    <n v="280"/>
    <n v="113.28"/>
    <s v="Credit Card"/>
    <x v="0"/>
  </r>
  <r>
    <x v="483"/>
    <x v="42"/>
    <s v="Olivia Moore"/>
    <x v="7"/>
    <s v="North America"/>
    <x v="2"/>
    <x v="1"/>
    <n v="3"/>
    <n v="119.06"/>
    <n v="0.05"/>
    <n v="339.32"/>
    <n v="180"/>
    <n v="159.32"/>
    <s v="Credit Card"/>
    <x v="0"/>
  </r>
  <r>
    <x v="484"/>
    <x v="271"/>
    <s v="Drew Brown"/>
    <x v="2"/>
    <s v="Africa"/>
    <x v="3"/>
    <x v="1"/>
    <n v="2"/>
    <n v="836.89"/>
    <n v="0.1"/>
    <n v="1506.4"/>
    <n v="1200"/>
    <n v="306.39999999999998"/>
    <s v="PayPal"/>
    <x v="1"/>
  </r>
  <r>
    <x v="485"/>
    <x v="186"/>
    <s v="Sophia Walker"/>
    <x v="6"/>
    <s v="North America"/>
    <x v="7"/>
    <x v="1"/>
    <n v="1"/>
    <n v="408.89"/>
    <n v="0.15"/>
    <n v="347.56"/>
    <n v="280"/>
    <n v="67.56"/>
    <s v="Credit Card"/>
    <x v="1"/>
  </r>
  <r>
    <x v="486"/>
    <x v="272"/>
    <s v="Emma Moore"/>
    <x v="3"/>
    <s v="Oceania"/>
    <x v="6"/>
    <x v="0"/>
    <n v="4"/>
    <n v="332.64"/>
    <n v="0"/>
    <n v="1330.56"/>
    <n v="800"/>
    <n v="530.55999999999995"/>
    <s v="Bank Transfer"/>
    <x v="2"/>
  </r>
  <r>
    <x v="487"/>
    <x v="2"/>
    <s v="Liam Johnson"/>
    <x v="2"/>
    <s v="Africa"/>
    <x v="4"/>
    <x v="1"/>
    <n v="4"/>
    <n v="232.98"/>
    <n v="0"/>
    <n v="931.92"/>
    <n v="600"/>
    <n v="331.92"/>
    <s v="Credit Card"/>
    <x v="1"/>
  </r>
  <r>
    <x v="488"/>
    <x v="248"/>
    <s v="Jordan Lewis"/>
    <x v="4"/>
    <s v="Africa"/>
    <x v="6"/>
    <x v="0"/>
    <n v="6"/>
    <n v="318.52999999999997"/>
    <n v="0"/>
    <n v="1911.18"/>
    <n v="1200"/>
    <n v="711.18"/>
    <s v="Credit Card"/>
    <x v="0"/>
  </r>
  <r>
    <x v="489"/>
    <x v="273"/>
    <s v="Liam Taylor"/>
    <x v="1"/>
    <s v="Asia"/>
    <x v="3"/>
    <x v="1"/>
    <n v="1"/>
    <n v="888.29"/>
    <n v="0.1"/>
    <n v="799.46"/>
    <n v="600"/>
    <n v="199.46"/>
    <s v="Bank Transfer"/>
    <x v="1"/>
  </r>
  <r>
    <x v="490"/>
    <x v="250"/>
    <s v="Jordan Martin"/>
    <x v="1"/>
    <s v="Asia"/>
    <x v="7"/>
    <x v="1"/>
    <n v="3"/>
    <n v="452.17"/>
    <n v="0"/>
    <n v="1356.51"/>
    <n v="840"/>
    <n v="516.51"/>
    <s v="Credit Card"/>
    <x v="2"/>
  </r>
  <r>
    <x v="491"/>
    <x v="172"/>
    <s v="Chris Walker"/>
    <x v="3"/>
    <s v="Oceania"/>
    <x v="4"/>
    <x v="1"/>
    <n v="2"/>
    <n v="229.58"/>
    <n v="0.05"/>
    <n v="436.2"/>
    <n v="300"/>
    <n v="136.19999999999999"/>
    <s v="PayPal"/>
    <x v="0"/>
  </r>
  <r>
    <x v="492"/>
    <x v="274"/>
    <s v="Morgan Lewis"/>
    <x v="6"/>
    <s v="North America"/>
    <x v="1"/>
    <x v="0"/>
    <n v="1"/>
    <n v="182.72"/>
    <n v="0"/>
    <n v="182.72"/>
    <n v="110"/>
    <n v="72.72"/>
    <s v="Credit Card"/>
    <x v="2"/>
  </r>
  <r>
    <x v="493"/>
    <x v="34"/>
    <s v="Casey Walker"/>
    <x v="2"/>
    <s v="Africa"/>
    <x v="4"/>
    <x v="1"/>
    <n v="1"/>
    <n v="229.6"/>
    <n v="0.1"/>
    <n v="206.64"/>
    <n v="150"/>
    <n v="56.64"/>
    <s v="Credit Card"/>
    <x v="1"/>
  </r>
  <r>
    <x v="494"/>
    <x v="36"/>
    <s v="Daniel Moore"/>
    <x v="4"/>
    <s v="Africa"/>
    <x v="7"/>
    <x v="1"/>
    <n v="1"/>
    <n v="448.73"/>
    <n v="0"/>
    <n v="448.73"/>
    <n v="280"/>
    <n v="168.73"/>
    <s v="Credit Card"/>
    <x v="1"/>
  </r>
  <r>
    <x v="495"/>
    <x v="140"/>
    <s v="Jordan Walker"/>
    <x v="1"/>
    <s v="Asia"/>
    <x v="7"/>
    <x v="1"/>
    <n v="1"/>
    <n v="420.4"/>
    <n v="0"/>
    <n v="420.4"/>
    <n v="280"/>
    <n v="140.4"/>
    <s v="Credit Card"/>
    <x v="0"/>
  </r>
  <r>
    <x v="496"/>
    <x v="76"/>
    <s v="Sophia Taylor"/>
    <x v="2"/>
    <s v="Africa"/>
    <x v="5"/>
    <x v="1"/>
    <n v="5"/>
    <n v="73.489999999999995"/>
    <n v="0"/>
    <n v="367.45"/>
    <n v="200"/>
    <n v="167.45"/>
    <s v="Credit Card"/>
    <x v="2"/>
  </r>
  <r>
    <x v="497"/>
    <x v="275"/>
    <s v="Sam Wilson"/>
    <x v="6"/>
    <s v="North America"/>
    <x v="1"/>
    <x v="0"/>
    <n v="4"/>
    <n v="184.36"/>
    <n v="0"/>
    <n v="737.44"/>
    <n v="440"/>
    <n v="297.44"/>
    <s v="Credit Card"/>
    <x v="1"/>
  </r>
  <r>
    <x v="498"/>
    <x v="141"/>
    <s v="Sophia Martin"/>
    <x v="7"/>
    <s v="North America"/>
    <x v="0"/>
    <x v="0"/>
    <n v="6"/>
    <n v="296.58999999999997"/>
    <n v="0"/>
    <n v="1779.54"/>
    <n v="1020"/>
    <n v="759.54"/>
    <s v="Bank Transfer"/>
    <x v="2"/>
  </r>
  <r>
    <x v="499"/>
    <x v="56"/>
    <s v="Daniel Martin"/>
    <x v="4"/>
    <s v="Africa"/>
    <x v="4"/>
    <x v="1"/>
    <n v="2"/>
    <n v="247.32"/>
    <n v="0.05"/>
    <n v="469.91"/>
    <n v="300"/>
    <n v="169.91"/>
    <s v="Debit Card"/>
    <x v="1"/>
  </r>
  <r>
    <x v="500"/>
    <x v="106"/>
    <s v="Alex Clark"/>
    <x v="1"/>
    <s v="Asia"/>
    <x v="1"/>
    <x v="0"/>
    <n v="3"/>
    <n v="191.11"/>
    <n v="0"/>
    <n v="573.33000000000004"/>
    <n v="330"/>
    <n v="243.33"/>
    <s v="Debit Card"/>
    <x v="2"/>
  </r>
  <r>
    <x v="501"/>
    <x v="117"/>
    <s v="Emma Lewis"/>
    <x v="0"/>
    <s v="Europe"/>
    <x v="4"/>
    <x v="1"/>
    <n v="2"/>
    <n v="234.08"/>
    <n v="0.05"/>
    <n v="444.75"/>
    <n v="300"/>
    <n v="144.75"/>
    <s v="Bank Transfer"/>
    <x v="2"/>
  </r>
  <r>
    <x v="502"/>
    <x v="261"/>
    <s v="Sam Clark"/>
    <x v="1"/>
    <s v="Asia"/>
    <x v="5"/>
    <x v="1"/>
    <n v="1"/>
    <n v="80.8"/>
    <n v="0"/>
    <n v="80.8"/>
    <n v="40"/>
    <n v="40.799999999999997"/>
    <s v="PayPal"/>
    <x v="1"/>
  </r>
  <r>
    <x v="503"/>
    <x v="237"/>
    <s v="Daniel Taylor"/>
    <x v="6"/>
    <s v="North America"/>
    <x v="6"/>
    <x v="0"/>
    <n v="3"/>
    <n v="333.06"/>
    <n v="0.05"/>
    <n v="949.22"/>
    <n v="600"/>
    <n v="349.22"/>
    <s v="Credit Card"/>
    <x v="1"/>
  </r>
  <r>
    <x v="504"/>
    <x v="109"/>
    <s v="Drew Young"/>
    <x v="0"/>
    <s v="Europe"/>
    <x v="7"/>
    <x v="1"/>
    <n v="1"/>
    <n v="439.79"/>
    <n v="0.05"/>
    <n v="417.8"/>
    <n v="280"/>
    <n v="137.80000000000001"/>
    <s v="Credit Card"/>
    <x v="1"/>
  </r>
  <r>
    <x v="505"/>
    <x v="276"/>
    <s v="Jordan Lewis"/>
    <x v="6"/>
    <s v="North America"/>
    <x v="5"/>
    <x v="1"/>
    <n v="3"/>
    <n v="80.97"/>
    <n v="0"/>
    <n v="242.91"/>
    <n v="120"/>
    <n v="122.91"/>
    <s v="Credit Card"/>
    <x v="1"/>
  </r>
  <r>
    <x v="506"/>
    <x v="195"/>
    <s v="Jordan Smith"/>
    <x v="7"/>
    <s v="North America"/>
    <x v="1"/>
    <x v="0"/>
    <n v="4"/>
    <n v="192.42"/>
    <n v="0.1"/>
    <n v="692.71"/>
    <n v="440"/>
    <n v="252.71"/>
    <s v="Bank Transfer"/>
    <x v="2"/>
  </r>
  <r>
    <x v="507"/>
    <x v="144"/>
    <s v="Daniel Walker"/>
    <x v="6"/>
    <s v="North America"/>
    <x v="6"/>
    <x v="0"/>
    <n v="2"/>
    <n v="333.76"/>
    <n v="0.1"/>
    <n v="600.77"/>
    <n v="400"/>
    <n v="200.77"/>
    <s v="Credit Card"/>
    <x v="1"/>
  </r>
  <r>
    <x v="508"/>
    <x v="277"/>
    <s v="Chris Taylor"/>
    <x v="2"/>
    <s v="Africa"/>
    <x v="0"/>
    <x v="0"/>
    <n v="3"/>
    <n v="294.04000000000002"/>
    <n v="0"/>
    <n v="882.12"/>
    <n v="510"/>
    <n v="372.12"/>
    <s v="Credit Card"/>
    <x v="2"/>
  </r>
  <r>
    <x v="509"/>
    <x v="276"/>
    <s v="Alex Walker"/>
    <x v="2"/>
    <s v="Africa"/>
    <x v="4"/>
    <x v="1"/>
    <n v="3"/>
    <n v="252.72"/>
    <n v="0.15"/>
    <n v="644.44000000000005"/>
    <n v="450"/>
    <n v="194.44"/>
    <s v="Bank Transfer"/>
    <x v="0"/>
  </r>
  <r>
    <x v="510"/>
    <x v="26"/>
    <s v="Riley Brown"/>
    <x v="3"/>
    <s v="Oceania"/>
    <x v="1"/>
    <x v="0"/>
    <n v="4"/>
    <n v="203.33"/>
    <n v="0"/>
    <n v="813.32"/>
    <n v="440"/>
    <n v="373.32"/>
    <s v="Debit Card"/>
    <x v="1"/>
  </r>
  <r>
    <x v="511"/>
    <x v="89"/>
    <s v="Noah Young"/>
    <x v="0"/>
    <s v="Europe"/>
    <x v="1"/>
    <x v="0"/>
    <n v="5"/>
    <n v="183.65"/>
    <n v="0.1"/>
    <n v="826.42"/>
    <n v="550"/>
    <n v="276.42"/>
    <s v="Credit Card"/>
    <x v="0"/>
  </r>
  <r>
    <x v="512"/>
    <x v="187"/>
    <s v="Noah Young"/>
    <x v="7"/>
    <s v="North America"/>
    <x v="0"/>
    <x v="0"/>
    <n v="1"/>
    <n v="287.31"/>
    <n v="0"/>
    <n v="287.31"/>
    <n v="170"/>
    <n v="117.31"/>
    <s v="PayPal"/>
    <x v="1"/>
  </r>
  <r>
    <x v="513"/>
    <x v="197"/>
    <s v="Riley Walker"/>
    <x v="6"/>
    <s v="North America"/>
    <x v="5"/>
    <x v="1"/>
    <n v="1"/>
    <n v="76.52"/>
    <n v="0"/>
    <n v="76.52"/>
    <n v="40"/>
    <n v="36.520000000000003"/>
    <s v="PayPal"/>
    <x v="2"/>
  </r>
  <r>
    <x v="514"/>
    <x v="195"/>
    <s v="Casey Lewis"/>
    <x v="4"/>
    <s v="Africa"/>
    <x v="6"/>
    <x v="0"/>
    <n v="4"/>
    <n v="336.9"/>
    <n v="0"/>
    <n v="1347.6"/>
    <n v="800"/>
    <n v="547.6"/>
    <s v="Credit Card"/>
    <x v="1"/>
  </r>
  <r>
    <x v="515"/>
    <x v="21"/>
    <s v="Sam Walker"/>
    <x v="0"/>
    <s v="Europe"/>
    <x v="5"/>
    <x v="1"/>
    <n v="1"/>
    <n v="80.88"/>
    <n v="0"/>
    <n v="80.88"/>
    <n v="40"/>
    <n v="40.880000000000003"/>
    <s v="Credit Card"/>
    <x v="1"/>
  </r>
  <r>
    <x v="516"/>
    <x v="53"/>
    <s v="Olivia Johnson"/>
    <x v="2"/>
    <s v="Africa"/>
    <x v="2"/>
    <x v="1"/>
    <n v="4"/>
    <n v="118.77"/>
    <n v="0"/>
    <n v="475.08"/>
    <n v="240"/>
    <n v="235.08"/>
    <s v="Bank Transfer"/>
    <x v="2"/>
  </r>
  <r>
    <x v="517"/>
    <x v="251"/>
    <s v="Chris Lewis"/>
    <x v="1"/>
    <s v="Asia"/>
    <x v="2"/>
    <x v="1"/>
    <n v="2"/>
    <n v="124.4"/>
    <n v="0.1"/>
    <n v="223.92"/>
    <n v="120"/>
    <n v="103.92"/>
    <s v="Debit Card"/>
    <x v="1"/>
  </r>
  <r>
    <x v="518"/>
    <x v="149"/>
    <s v="Mia Walker"/>
    <x v="0"/>
    <s v="Europe"/>
    <x v="2"/>
    <x v="1"/>
    <n v="2"/>
    <n v="123.66"/>
    <n v="0.1"/>
    <n v="222.59"/>
    <n v="120"/>
    <n v="102.59"/>
    <s v="Credit Card"/>
    <x v="1"/>
  </r>
  <r>
    <x v="519"/>
    <x v="17"/>
    <s v="Riley Martin"/>
    <x v="3"/>
    <s v="Oceania"/>
    <x v="0"/>
    <x v="0"/>
    <n v="4"/>
    <n v="269.33"/>
    <n v="0"/>
    <n v="1077.32"/>
    <n v="680"/>
    <n v="397.32"/>
    <s v="Debit Card"/>
    <x v="1"/>
  </r>
  <r>
    <x v="520"/>
    <x v="278"/>
    <s v="Sophia Lewis"/>
    <x v="4"/>
    <s v="Africa"/>
    <x v="5"/>
    <x v="1"/>
    <n v="4"/>
    <n v="79.37"/>
    <n v="0.05"/>
    <n v="301.61"/>
    <n v="160"/>
    <n v="141.61000000000001"/>
    <s v="Debit Card"/>
    <x v="1"/>
  </r>
  <r>
    <x v="521"/>
    <x v="266"/>
    <s v="Jamie Hall"/>
    <x v="7"/>
    <s v="North America"/>
    <x v="7"/>
    <x v="1"/>
    <n v="4"/>
    <n v="426.2"/>
    <n v="0"/>
    <n v="1704.8"/>
    <n v="1120"/>
    <n v="584.79999999999995"/>
    <s v="Debit Card"/>
    <x v="2"/>
  </r>
  <r>
    <x v="522"/>
    <x v="39"/>
    <s v="Avery Clark"/>
    <x v="6"/>
    <s v="North America"/>
    <x v="2"/>
    <x v="1"/>
    <n v="4"/>
    <n v="125.39"/>
    <n v="0.05"/>
    <n v="476.48"/>
    <n v="240"/>
    <n v="236.48"/>
    <s v="PayPal"/>
    <x v="0"/>
  </r>
  <r>
    <x v="523"/>
    <x v="192"/>
    <s v="Liam Moore"/>
    <x v="2"/>
    <s v="Africa"/>
    <x v="6"/>
    <x v="0"/>
    <n v="2"/>
    <n v="331.13"/>
    <n v="0.15"/>
    <n v="562.91999999999996"/>
    <n v="400"/>
    <n v="162.91999999999999"/>
    <s v="PayPal"/>
    <x v="0"/>
  </r>
  <r>
    <x v="524"/>
    <x v="18"/>
    <s v="Noah Martin"/>
    <x v="6"/>
    <s v="North America"/>
    <x v="5"/>
    <x v="1"/>
    <n v="3"/>
    <n v="78.62"/>
    <n v="0"/>
    <n v="235.86"/>
    <n v="120"/>
    <n v="115.86"/>
    <s v="Debit Card"/>
    <x v="0"/>
  </r>
  <r>
    <x v="525"/>
    <x v="7"/>
    <s v="Sophia Smith"/>
    <x v="4"/>
    <s v="Africa"/>
    <x v="4"/>
    <x v="1"/>
    <n v="2"/>
    <n v="238.78"/>
    <n v="0.05"/>
    <n v="453.68"/>
    <n v="300"/>
    <n v="153.68"/>
    <s v="Debit Card"/>
    <x v="1"/>
  </r>
  <r>
    <x v="526"/>
    <x v="151"/>
    <s v="Mia Young"/>
    <x v="0"/>
    <s v="Europe"/>
    <x v="3"/>
    <x v="1"/>
    <n v="1"/>
    <n v="911.49"/>
    <n v="0"/>
    <n v="911.49"/>
    <n v="600"/>
    <n v="311.49"/>
    <s v="Debit Card"/>
    <x v="0"/>
  </r>
  <r>
    <x v="527"/>
    <x v="279"/>
    <s v="Jamie Anderson"/>
    <x v="7"/>
    <s v="North America"/>
    <x v="2"/>
    <x v="1"/>
    <n v="3"/>
    <n v="124.11"/>
    <n v="0"/>
    <n v="372.33"/>
    <n v="180"/>
    <n v="192.33"/>
    <s v="Debit Card"/>
    <x v="2"/>
  </r>
  <r>
    <x v="528"/>
    <x v="268"/>
    <s v="Ethan Taylor"/>
    <x v="7"/>
    <s v="North America"/>
    <x v="3"/>
    <x v="1"/>
    <n v="1"/>
    <n v="874"/>
    <n v="0.05"/>
    <n v="830.3"/>
    <n v="600"/>
    <n v="230.3"/>
    <s v="PayPal"/>
    <x v="1"/>
  </r>
  <r>
    <x v="529"/>
    <x v="60"/>
    <s v="Morgan Smith"/>
    <x v="4"/>
    <s v="Africa"/>
    <x v="5"/>
    <x v="1"/>
    <n v="1"/>
    <n v="73.290000000000006"/>
    <n v="0.1"/>
    <n v="65.959999999999994"/>
    <n v="40"/>
    <n v="25.96"/>
    <s v="Credit Card"/>
    <x v="1"/>
  </r>
  <r>
    <x v="530"/>
    <x v="205"/>
    <s v="Sam Clark"/>
    <x v="5"/>
    <s v="Europe"/>
    <x v="1"/>
    <x v="0"/>
    <n v="2"/>
    <n v="193.84"/>
    <n v="0.1"/>
    <n v="348.91"/>
    <n v="220"/>
    <n v="128.91"/>
    <s v="Debit Card"/>
    <x v="1"/>
  </r>
  <r>
    <x v="531"/>
    <x v="211"/>
    <s v="Morgan Wilson"/>
    <x v="0"/>
    <s v="Europe"/>
    <x v="0"/>
    <x v="0"/>
    <n v="1"/>
    <n v="276.72000000000003"/>
    <n v="0"/>
    <n v="276.72000000000003"/>
    <n v="170"/>
    <n v="106.72"/>
    <s v="Credit Card"/>
    <x v="0"/>
  </r>
  <r>
    <x v="532"/>
    <x v="31"/>
    <s v="Chris Hall"/>
    <x v="6"/>
    <s v="North America"/>
    <x v="5"/>
    <x v="1"/>
    <n v="1"/>
    <n v="78.97"/>
    <n v="0"/>
    <n v="78.97"/>
    <n v="40"/>
    <n v="38.97"/>
    <s v="Credit Card"/>
    <x v="1"/>
  </r>
  <r>
    <x v="533"/>
    <x v="201"/>
    <s v="Mia Taylor"/>
    <x v="3"/>
    <s v="Oceania"/>
    <x v="0"/>
    <x v="0"/>
    <n v="1"/>
    <n v="295.95999999999998"/>
    <n v="0.1"/>
    <n v="266.36"/>
    <n v="170"/>
    <n v="96.36"/>
    <s v="Bank Transfer"/>
    <x v="1"/>
  </r>
  <r>
    <x v="534"/>
    <x v="169"/>
    <s v="Drew Smith"/>
    <x v="5"/>
    <s v="Europe"/>
    <x v="0"/>
    <x v="0"/>
    <n v="2"/>
    <n v="261.63"/>
    <n v="0.2"/>
    <n v="418.61"/>
    <n v="340"/>
    <n v="78.61"/>
    <s v="Credit Card"/>
    <x v="2"/>
  </r>
  <r>
    <x v="535"/>
    <x v="194"/>
    <s v="Alex Clark"/>
    <x v="5"/>
    <s v="Europe"/>
    <x v="4"/>
    <x v="1"/>
    <n v="6"/>
    <n v="253.41"/>
    <n v="0"/>
    <n v="1520.46"/>
    <n v="900"/>
    <n v="620.46"/>
    <s v="Credit Card"/>
    <x v="1"/>
  </r>
  <r>
    <x v="536"/>
    <x v="280"/>
    <s v="Ethan Lewis"/>
    <x v="3"/>
    <s v="Oceania"/>
    <x v="0"/>
    <x v="0"/>
    <n v="1"/>
    <n v="268.02"/>
    <n v="0"/>
    <n v="268.02"/>
    <n v="170"/>
    <n v="98.02"/>
    <s v="Bank Transfer"/>
    <x v="0"/>
  </r>
  <r>
    <x v="537"/>
    <x v="107"/>
    <s v="Olivia Johnson"/>
    <x v="5"/>
    <s v="Europe"/>
    <x v="4"/>
    <x v="1"/>
    <n v="4"/>
    <n v="246.35"/>
    <n v="0.1"/>
    <n v="886.86"/>
    <n v="600"/>
    <n v="286.86"/>
    <s v="Bank Transfer"/>
    <x v="2"/>
  </r>
  <r>
    <x v="538"/>
    <x v="103"/>
    <s v="Liam Young"/>
    <x v="3"/>
    <s v="Oceania"/>
    <x v="6"/>
    <x v="0"/>
    <n v="2"/>
    <n v="309.37"/>
    <n v="0"/>
    <n v="618.74"/>
    <n v="400"/>
    <n v="218.74"/>
    <s v="Debit Card"/>
    <x v="2"/>
  </r>
  <r>
    <x v="539"/>
    <x v="39"/>
    <s v="Casey Anderson"/>
    <x v="5"/>
    <s v="Europe"/>
    <x v="4"/>
    <x v="1"/>
    <n v="2"/>
    <n v="253.57"/>
    <n v="0"/>
    <n v="507.14"/>
    <n v="300"/>
    <n v="207.14"/>
    <s v="Bank Transfer"/>
    <x v="1"/>
  </r>
  <r>
    <x v="540"/>
    <x v="94"/>
    <s v="Taylor Brown"/>
    <x v="5"/>
    <s v="Europe"/>
    <x v="4"/>
    <x v="1"/>
    <n v="2"/>
    <n v="228.39"/>
    <n v="0.05"/>
    <n v="433.94"/>
    <n v="300"/>
    <n v="133.94"/>
    <s v="Bank Transfer"/>
    <x v="1"/>
  </r>
  <r>
    <x v="541"/>
    <x v="11"/>
    <s v="Riley Thomas"/>
    <x v="2"/>
    <s v="Africa"/>
    <x v="5"/>
    <x v="1"/>
    <n v="2"/>
    <n v="75.959999999999994"/>
    <n v="0.05"/>
    <n v="144.32"/>
    <n v="80"/>
    <n v="64.319999999999993"/>
    <s v="PayPal"/>
    <x v="1"/>
  </r>
  <r>
    <x v="542"/>
    <x v="281"/>
    <s v="Liam Moore"/>
    <x v="4"/>
    <s v="Africa"/>
    <x v="2"/>
    <x v="1"/>
    <n v="1"/>
    <n v="122.83"/>
    <n v="0.05"/>
    <n v="116.69"/>
    <n v="60"/>
    <n v="56.69"/>
    <s v="Debit Card"/>
    <x v="0"/>
  </r>
  <r>
    <x v="543"/>
    <x v="198"/>
    <s v="Casey Lewis"/>
    <x v="3"/>
    <s v="Oceania"/>
    <x v="4"/>
    <x v="1"/>
    <n v="1"/>
    <n v="244.89"/>
    <n v="0"/>
    <n v="244.89"/>
    <n v="150"/>
    <n v="94.89"/>
    <s v="Credit Card"/>
    <x v="0"/>
  </r>
  <r>
    <x v="544"/>
    <x v="277"/>
    <s v="Noah Hall"/>
    <x v="1"/>
    <s v="Asia"/>
    <x v="1"/>
    <x v="0"/>
    <n v="2"/>
    <n v="204.81"/>
    <n v="0.15"/>
    <n v="348.18"/>
    <n v="220"/>
    <n v="128.18"/>
    <s v="Credit Card"/>
    <x v="1"/>
  </r>
  <r>
    <x v="545"/>
    <x v="270"/>
    <s v="Sam Hall"/>
    <x v="2"/>
    <s v="Africa"/>
    <x v="4"/>
    <x v="1"/>
    <n v="3"/>
    <n v="256.95999999999998"/>
    <n v="0"/>
    <n v="770.88"/>
    <n v="450"/>
    <n v="320.88"/>
    <s v="Credit Card"/>
    <x v="2"/>
  </r>
  <r>
    <x v="546"/>
    <x v="282"/>
    <s v="Riley Davis"/>
    <x v="6"/>
    <s v="North America"/>
    <x v="5"/>
    <x v="1"/>
    <n v="3"/>
    <n v="76.02"/>
    <n v="0"/>
    <n v="228.06"/>
    <n v="120"/>
    <n v="108.06"/>
    <s v="Debit Card"/>
    <x v="1"/>
  </r>
  <r>
    <x v="547"/>
    <x v="283"/>
    <s v="Liam Anderson"/>
    <x v="7"/>
    <s v="North America"/>
    <x v="1"/>
    <x v="0"/>
    <n v="6"/>
    <n v="198.5"/>
    <n v="0.05"/>
    <n v="1131.45"/>
    <n v="660"/>
    <n v="471.45"/>
    <s v="Debit Card"/>
    <x v="1"/>
  </r>
  <r>
    <x v="548"/>
    <x v="114"/>
    <s v="Mia Johnson"/>
    <x v="0"/>
    <s v="Europe"/>
    <x v="6"/>
    <x v="0"/>
    <n v="3"/>
    <n v="333.58"/>
    <n v="0"/>
    <n v="1000.74"/>
    <n v="600"/>
    <n v="400.74"/>
    <s v="Credit Card"/>
    <x v="2"/>
  </r>
  <r>
    <x v="549"/>
    <x v="44"/>
    <s v="Noah Hall"/>
    <x v="3"/>
    <s v="Oceania"/>
    <x v="3"/>
    <x v="1"/>
    <n v="3"/>
    <n v="843.4"/>
    <n v="0.1"/>
    <n v="2277.1799999999998"/>
    <n v="1800"/>
    <n v="477.18"/>
    <s v="PayPal"/>
    <x v="1"/>
  </r>
  <r>
    <x v="550"/>
    <x v="47"/>
    <s v="Sophia Johnson"/>
    <x v="6"/>
    <s v="North America"/>
    <x v="2"/>
    <x v="1"/>
    <n v="3"/>
    <n v="114.26"/>
    <n v="0.05"/>
    <n v="325.64"/>
    <n v="180"/>
    <n v="145.63999999999999"/>
    <s v="Bank Transfer"/>
    <x v="1"/>
  </r>
  <r>
    <x v="551"/>
    <x v="284"/>
    <s v="Casey Martin"/>
    <x v="6"/>
    <s v="North America"/>
    <x v="2"/>
    <x v="1"/>
    <n v="2"/>
    <n v="116.83"/>
    <n v="0"/>
    <n v="233.66"/>
    <n v="120"/>
    <n v="113.66"/>
    <s v="PayPal"/>
    <x v="2"/>
  </r>
  <r>
    <x v="552"/>
    <x v="77"/>
    <s v="Liam Lewis"/>
    <x v="1"/>
    <s v="Asia"/>
    <x v="6"/>
    <x v="0"/>
    <n v="2"/>
    <n v="350.85"/>
    <n v="0.05"/>
    <n v="666.62"/>
    <n v="400"/>
    <n v="266.62"/>
    <s v="Bank Transfer"/>
    <x v="1"/>
  </r>
  <r>
    <x v="553"/>
    <x v="285"/>
    <s v="Cameron Smith"/>
    <x v="1"/>
    <s v="Asia"/>
    <x v="5"/>
    <x v="1"/>
    <n v="3"/>
    <n v="75.48"/>
    <n v="0.05"/>
    <n v="215.12"/>
    <n v="120"/>
    <n v="95.12"/>
    <s v="Credit Card"/>
    <x v="1"/>
  </r>
  <r>
    <x v="554"/>
    <x v="286"/>
    <s v="Emma Smith"/>
    <x v="5"/>
    <s v="Europe"/>
    <x v="2"/>
    <x v="1"/>
    <n v="2"/>
    <n v="123.26"/>
    <n v="0"/>
    <n v="246.52"/>
    <n v="120"/>
    <n v="126.52"/>
    <s v="Bank Transfer"/>
    <x v="1"/>
  </r>
  <r>
    <x v="555"/>
    <x v="287"/>
    <s v="Drew Anderson"/>
    <x v="4"/>
    <s v="Africa"/>
    <x v="5"/>
    <x v="1"/>
    <n v="1"/>
    <n v="71.5"/>
    <n v="0.1"/>
    <n v="64.349999999999994"/>
    <n v="40"/>
    <n v="24.35"/>
    <s v="Bank Transfer"/>
    <x v="2"/>
  </r>
  <r>
    <x v="556"/>
    <x v="86"/>
    <s v="Riley Walker"/>
    <x v="5"/>
    <s v="Europe"/>
    <x v="3"/>
    <x v="1"/>
    <n v="3"/>
    <n v="829.13"/>
    <n v="0"/>
    <n v="2487.39"/>
    <n v="1800"/>
    <n v="687.39"/>
    <s v="Debit Card"/>
    <x v="1"/>
  </r>
  <r>
    <x v="557"/>
    <x v="34"/>
    <s v="Ethan Moore"/>
    <x v="2"/>
    <s v="Africa"/>
    <x v="0"/>
    <x v="0"/>
    <n v="1"/>
    <n v="267.77999999999997"/>
    <n v="0.05"/>
    <n v="254.39"/>
    <n v="170"/>
    <n v="84.39"/>
    <s v="Debit Card"/>
    <x v="1"/>
  </r>
  <r>
    <x v="558"/>
    <x v="288"/>
    <s v="Taylor Smith"/>
    <x v="2"/>
    <s v="Africa"/>
    <x v="0"/>
    <x v="0"/>
    <n v="2"/>
    <n v="265.85000000000002"/>
    <n v="0"/>
    <n v="531.70000000000005"/>
    <n v="340"/>
    <n v="191.7"/>
    <s v="Credit Card"/>
    <x v="2"/>
  </r>
  <r>
    <x v="559"/>
    <x v="289"/>
    <s v="Mia Smith"/>
    <x v="0"/>
    <s v="Europe"/>
    <x v="0"/>
    <x v="0"/>
    <n v="1"/>
    <n v="284.2"/>
    <n v="0"/>
    <n v="284.2"/>
    <n v="170"/>
    <n v="114.2"/>
    <s v="PayPal"/>
    <x v="2"/>
  </r>
  <r>
    <x v="560"/>
    <x v="290"/>
    <s v="Sophia Moore"/>
    <x v="1"/>
    <s v="Asia"/>
    <x v="7"/>
    <x v="1"/>
    <n v="3"/>
    <n v="432.4"/>
    <n v="0.1"/>
    <n v="1167.48"/>
    <n v="840"/>
    <n v="327.48"/>
    <s v="Debit Card"/>
    <x v="1"/>
  </r>
  <r>
    <x v="561"/>
    <x v="181"/>
    <s v="Jamie Wilson"/>
    <x v="0"/>
    <s v="Europe"/>
    <x v="1"/>
    <x v="0"/>
    <n v="1"/>
    <n v="194.21"/>
    <n v="0"/>
    <n v="194.21"/>
    <n v="110"/>
    <n v="84.21"/>
    <s v="Debit Card"/>
    <x v="2"/>
  </r>
  <r>
    <x v="562"/>
    <x v="291"/>
    <s v="Ethan Lewis"/>
    <x v="5"/>
    <s v="Europe"/>
    <x v="4"/>
    <x v="1"/>
    <n v="3"/>
    <n v="250.3"/>
    <n v="0.1"/>
    <n v="675.81"/>
    <n v="450"/>
    <n v="225.81"/>
    <s v="Credit Card"/>
    <x v="1"/>
  </r>
  <r>
    <x v="563"/>
    <x v="82"/>
    <s v="Olivia Young"/>
    <x v="0"/>
    <s v="Europe"/>
    <x v="4"/>
    <x v="1"/>
    <n v="4"/>
    <n v="237.16"/>
    <n v="0"/>
    <n v="948.64"/>
    <n v="600"/>
    <n v="348.64"/>
    <s v="Credit Card"/>
    <x v="0"/>
  </r>
  <r>
    <x v="564"/>
    <x v="229"/>
    <s v="Morgan Martin"/>
    <x v="4"/>
    <s v="Africa"/>
    <x v="5"/>
    <x v="1"/>
    <n v="4"/>
    <n v="79.209999999999994"/>
    <n v="0.15"/>
    <n v="269.31"/>
    <n v="160"/>
    <n v="109.31"/>
    <s v="Bank Transfer"/>
    <x v="1"/>
  </r>
  <r>
    <x v="565"/>
    <x v="113"/>
    <s v="Sam Brown"/>
    <x v="1"/>
    <s v="Asia"/>
    <x v="2"/>
    <x v="1"/>
    <n v="1"/>
    <n v="128"/>
    <n v="0"/>
    <n v="128"/>
    <n v="60"/>
    <n v="68"/>
    <s v="PayPal"/>
    <x v="1"/>
  </r>
  <r>
    <x v="566"/>
    <x v="132"/>
    <s v="Daniel Anderson"/>
    <x v="1"/>
    <s v="Asia"/>
    <x v="0"/>
    <x v="0"/>
    <n v="3"/>
    <n v="288.35000000000002"/>
    <n v="0"/>
    <n v="865.05"/>
    <n v="510"/>
    <n v="355.05"/>
    <s v="Credit Card"/>
    <x v="1"/>
  </r>
  <r>
    <x v="567"/>
    <x v="292"/>
    <s v="Sophia Wilson"/>
    <x v="3"/>
    <s v="Oceania"/>
    <x v="1"/>
    <x v="0"/>
    <n v="4"/>
    <n v="190.03"/>
    <n v="0"/>
    <n v="760.12"/>
    <n v="440"/>
    <n v="320.12"/>
    <s v="Bank Transfer"/>
    <x v="2"/>
  </r>
  <r>
    <x v="568"/>
    <x v="293"/>
    <s v="Avery Lewis"/>
    <x v="0"/>
    <s v="Europe"/>
    <x v="4"/>
    <x v="1"/>
    <n v="1"/>
    <n v="250.75"/>
    <n v="0.05"/>
    <n v="238.21"/>
    <n v="150"/>
    <n v="88.21"/>
    <s v="Credit Card"/>
    <x v="1"/>
  </r>
  <r>
    <x v="569"/>
    <x v="49"/>
    <s v="Sophia Hall"/>
    <x v="5"/>
    <s v="Europe"/>
    <x v="7"/>
    <x v="1"/>
    <n v="1"/>
    <n v="433.73"/>
    <n v="0"/>
    <n v="433.73"/>
    <n v="280"/>
    <n v="153.72999999999999"/>
    <s v="Credit Card"/>
    <x v="2"/>
  </r>
  <r>
    <x v="570"/>
    <x v="202"/>
    <s v="Noah Smith"/>
    <x v="6"/>
    <s v="North America"/>
    <x v="5"/>
    <x v="1"/>
    <n v="4"/>
    <n v="78.709999999999994"/>
    <n v="0"/>
    <n v="314.83999999999997"/>
    <n v="160"/>
    <n v="154.84"/>
    <s v="Bank Transfer"/>
    <x v="2"/>
  </r>
  <r>
    <x v="571"/>
    <x v="294"/>
    <s v="Riley Johnson"/>
    <x v="5"/>
    <s v="Europe"/>
    <x v="3"/>
    <x v="1"/>
    <n v="1"/>
    <n v="819.55"/>
    <n v="0.05"/>
    <n v="778.57"/>
    <n v="600"/>
    <n v="178.57"/>
    <s v="Credit Card"/>
    <x v="0"/>
  </r>
  <r>
    <x v="572"/>
    <x v="295"/>
    <s v="Morgan Moore"/>
    <x v="6"/>
    <s v="North America"/>
    <x v="4"/>
    <x v="1"/>
    <n v="5"/>
    <n v="252.49"/>
    <n v="0.1"/>
    <n v="1136.21"/>
    <n v="750"/>
    <n v="386.21"/>
    <s v="PayPal"/>
    <x v="1"/>
  </r>
  <r>
    <x v="573"/>
    <x v="86"/>
    <s v="Sophia Hall"/>
    <x v="4"/>
    <s v="Africa"/>
    <x v="6"/>
    <x v="0"/>
    <n v="2"/>
    <n v="336.03"/>
    <n v="0.05"/>
    <n v="638.46"/>
    <n v="400"/>
    <n v="238.46"/>
    <s v="Credit Card"/>
    <x v="0"/>
  </r>
  <r>
    <x v="574"/>
    <x v="153"/>
    <s v="Avery Hall"/>
    <x v="4"/>
    <s v="Africa"/>
    <x v="6"/>
    <x v="0"/>
    <n v="2"/>
    <n v="337.59"/>
    <n v="0"/>
    <n v="675.18"/>
    <n v="400"/>
    <n v="275.18"/>
    <s v="PayPal"/>
    <x v="0"/>
  </r>
  <r>
    <x v="575"/>
    <x v="22"/>
    <s v="Riley Thomas"/>
    <x v="1"/>
    <s v="Asia"/>
    <x v="6"/>
    <x v="0"/>
    <n v="4"/>
    <n v="338.54"/>
    <n v="0"/>
    <n v="1354.16"/>
    <n v="800"/>
    <n v="554.16"/>
    <s v="Bank Transfer"/>
    <x v="2"/>
  </r>
  <r>
    <x v="576"/>
    <x v="191"/>
    <s v="Avery Lewis"/>
    <x v="4"/>
    <s v="Africa"/>
    <x v="1"/>
    <x v="0"/>
    <n v="4"/>
    <n v="185.88"/>
    <n v="0.15"/>
    <n v="631.99"/>
    <n v="440"/>
    <n v="191.99"/>
    <s v="Credit Card"/>
    <x v="0"/>
  </r>
  <r>
    <x v="577"/>
    <x v="296"/>
    <s v="Olivia Brown"/>
    <x v="4"/>
    <s v="Africa"/>
    <x v="3"/>
    <x v="1"/>
    <n v="1"/>
    <n v="863.98"/>
    <n v="0.1"/>
    <n v="777.58"/>
    <n v="600"/>
    <n v="177.58"/>
    <s v="Bank Transfer"/>
    <x v="0"/>
  </r>
  <r>
    <x v="578"/>
    <x v="112"/>
    <s v="Olivia Lewis"/>
    <x v="0"/>
    <s v="Europe"/>
    <x v="4"/>
    <x v="1"/>
    <n v="1"/>
    <n v="248.94"/>
    <n v="0.1"/>
    <n v="224.05"/>
    <n v="150"/>
    <n v="74.05"/>
    <s v="Bank Transfer"/>
    <x v="1"/>
  </r>
  <r>
    <x v="579"/>
    <x v="170"/>
    <s v="Ethan Davis"/>
    <x v="2"/>
    <s v="Africa"/>
    <x v="6"/>
    <x v="0"/>
    <n v="2"/>
    <n v="323.52999999999997"/>
    <n v="0"/>
    <n v="647.05999999999995"/>
    <n v="400"/>
    <n v="247.06"/>
    <s v="Credit Card"/>
    <x v="2"/>
  </r>
  <r>
    <x v="580"/>
    <x v="15"/>
    <s v="Daniel Smith"/>
    <x v="3"/>
    <s v="Oceania"/>
    <x v="0"/>
    <x v="0"/>
    <n v="2"/>
    <n v="275.3"/>
    <n v="0.1"/>
    <n v="495.54"/>
    <n v="340"/>
    <n v="155.54"/>
    <s v="Credit Card"/>
    <x v="1"/>
  </r>
  <r>
    <x v="581"/>
    <x v="297"/>
    <s v="Jamie Hall"/>
    <x v="0"/>
    <s v="Europe"/>
    <x v="6"/>
    <x v="0"/>
    <n v="2"/>
    <n v="327.37"/>
    <n v="0.05"/>
    <n v="622"/>
    <n v="400"/>
    <n v="222"/>
    <s v="PayPal"/>
    <x v="1"/>
  </r>
  <r>
    <x v="582"/>
    <x v="298"/>
    <s v="Taylor Wilson"/>
    <x v="4"/>
    <s v="Africa"/>
    <x v="6"/>
    <x v="0"/>
    <n v="4"/>
    <n v="328.52"/>
    <n v="0.05"/>
    <n v="1248.3800000000001"/>
    <n v="800"/>
    <n v="448.38"/>
    <s v="Bank Transfer"/>
    <x v="2"/>
  </r>
  <r>
    <x v="583"/>
    <x v="116"/>
    <s v="Avery Johnson"/>
    <x v="5"/>
    <s v="Europe"/>
    <x v="3"/>
    <x v="1"/>
    <n v="1"/>
    <n v="910.36"/>
    <n v="0"/>
    <n v="910.36"/>
    <n v="600"/>
    <n v="310.36"/>
    <s v="Bank Transfer"/>
    <x v="1"/>
  </r>
  <r>
    <x v="584"/>
    <x v="131"/>
    <s v="Cameron Wilson"/>
    <x v="4"/>
    <s v="Africa"/>
    <x v="5"/>
    <x v="1"/>
    <n v="1"/>
    <n v="76.81"/>
    <n v="0"/>
    <n v="76.81"/>
    <n v="40"/>
    <n v="36.81"/>
    <s v="PayPal"/>
    <x v="1"/>
  </r>
  <r>
    <x v="585"/>
    <x v="190"/>
    <s v="Jamie Clark"/>
    <x v="0"/>
    <s v="Europe"/>
    <x v="6"/>
    <x v="0"/>
    <n v="4"/>
    <n v="315.83999999999997"/>
    <n v="0.1"/>
    <n v="1137.02"/>
    <n v="800"/>
    <n v="337.02"/>
    <s v="Credit Card"/>
    <x v="2"/>
  </r>
  <r>
    <x v="586"/>
    <x v="159"/>
    <s v="Alex Lewis"/>
    <x v="6"/>
    <s v="North America"/>
    <x v="1"/>
    <x v="0"/>
    <n v="2"/>
    <n v="182.3"/>
    <n v="0"/>
    <n v="364.6"/>
    <n v="220"/>
    <n v="144.6"/>
    <s v="Credit Card"/>
    <x v="2"/>
  </r>
  <r>
    <x v="587"/>
    <x v="8"/>
    <s v="Olivia Walker"/>
    <x v="2"/>
    <s v="Africa"/>
    <x v="6"/>
    <x v="0"/>
    <n v="1"/>
    <n v="316.77"/>
    <n v="0"/>
    <n v="316.77"/>
    <n v="200"/>
    <n v="116.77"/>
    <s v="Credit Card"/>
    <x v="1"/>
  </r>
  <r>
    <x v="588"/>
    <x v="116"/>
    <s v="Sophia Hall"/>
    <x v="4"/>
    <s v="Africa"/>
    <x v="2"/>
    <x v="1"/>
    <n v="3"/>
    <n v="127.44"/>
    <n v="0.05"/>
    <n v="363.2"/>
    <n v="180"/>
    <n v="183.2"/>
    <s v="Bank Transfer"/>
    <x v="1"/>
  </r>
  <r>
    <x v="589"/>
    <x v="42"/>
    <s v="Alex Davis"/>
    <x v="3"/>
    <s v="Oceania"/>
    <x v="1"/>
    <x v="0"/>
    <n v="2"/>
    <n v="187.4"/>
    <n v="0.05"/>
    <n v="356.06"/>
    <n v="220"/>
    <n v="136.06"/>
    <s v="PayPal"/>
    <x v="0"/>
  </r>
  <r>
    <x v="590"/>
    <x v="190"/>
    <s v="Drew Brown"/>
    <x v="4"/>
    <s v="Africa"/>
    <x v="0"/>
    <x v="0"/>
    <n v="2"/>
    <n v="272.89999999999998"/>
    <n v="0.1"/>
    <n v="491.22"/>
    <n v="340"/>
    <n v="151.22"/>
    <s v="Credit Card"/>
    <x v="1"/>
  </r>
  <r>
    <x v="591"/>
    <x v="53"/>
    <s v="Emma Anderson"/>
    <x v="1"/>
    <s v="Asia"/>
    <x v="2"/>
    <x v="1"/>
    <n v="1"/>
    <n v="117.76"/>
    <n v="0"/>
    <n v="117.76"/>
    <n v="60"/>
    <n v="57.76"/>
    <s v="Credit Card"/>
    <x v="2"/>
  </r>
  <r>
    <x v="592"/>
    <x v="299"/>
    <s v="Sophia Moore"/>
    <x v="5"/>
    <s v="Europe"/>
    <x v="6"/>
    <x v="0"/>
    <n v="2"/>
    <n v="347"/>
    <n v="0.1"/>
    <n v="624.6"/>
    <n v="400"/>
    <n v="224.6"/>
    <s v="Debit Card"/>
    <x v="0"/>
  </r>
  <r>
    <x v="593"/>
    <x v="143"/>
    <s v="Emma Hall"/>
    <x v="1"/>
    <s v="Asia"/>
    <x v="7"/>
    <x v="1"/>
    <n v="2"/>
    <n v="416.49"/>
    <n v="0"/>
    <n v="832.98"/>
    <n v="560"/>
    <n v="272.98"/>
    <s v="PayPal"/>
    <x v="2"/>
  </r>
  <r>
    <x v="594"/>
    <x v="300"/>
    <s v="Jamie Wilson"/>
    <x v="0"/>
    <s v="Europe"/>
    <x v="7"/>
    <x v="1"/>
    <n v="5"/>
    <n v="443.84"/>
    <n v="0"/>
    <n v="2219.1999999999998"/>
    <n v="1400"/>
    <n v="819.2"/>
    <s v="Credit Card"/>
    <x v="1"/>
  </r>
  <r>
    <x v="595"/>
    <x v="163"/>
    <s v="Liam Lewis"/>
    <x v="4"/>
    <s v="Africa"/>
    <x v="1"/>
    <x v="0"/>
    <n v="1"/>
    <n v="180.83"/>
    <n v="0.1"/>
    <n v="162.75"/>
    <n v="110"/>
    <n v="52.75"/>
    <s v="Bank Transfer"/>
    <x v="0"/>
  </r>
  <r>
    <x v="596"/>
    <x v="270"/>
    <s v="Chris Young"/>
    <x v="6"/>
    <s v="North America"/>
    <x v="3"/>
    <x v="1"/>
    <n v="4"/>
    <n v="874.45"/>
    <n v="0.2"/>
    <n v="2798.24"/>
    <n v="2400"/>
    <n v="398.24"/>
    <s v="PayPal"/>
    <x v="0"/>
  </r>
  <r>
    <x v="597"/>
    <x v="122"/>
    <s v="Olivia Wilson"/>
    <x v="2"/>
    <s v="Africa"/>
    <x v="1"/>
    <x v="0"/>
    <n v="1"/>
    <n v="184.64"/>
    <n v="0.05"/>
    <n v="175.41"/>
    <n v="110"/>
    <n v="65.41"/>
    <s v="Bank Transfer"/>
    <x v="2"/>
  </r>
  <r>
    <x v="598"/>
    <x v="90"/>
    <s v="Ethan Taylor"/>
    <x v="0"/>
    <s v="Europe"/>
    <x v="3"/>
    <x v="1"/>
    <n v="1"/>
    <n v="817.16"/>
    <n v="0.05"/>
    <n v="776.3"/>
    <n v="600"/>
    <n v="176.3"/>
    <s v="Debit Card"/>
    <x v="1"/>
  </r>
  <r>
    <x v="599"/>
    <x v="252"/>
    <s v="Casey Walker"/>
    <x v="0"/>
    <s v="Europe"/>
    <x v="2"/>
    <x v="1"/>
    <n v="2"/>
    <n v="116.79"/>
    <n v="0"/>
    <n v="233.58"/>
    <n v="120"/>
    <n v="113.58"/>
    <s v="Debit Card"/>
    <x v="0"/>
  </r>
  <r>
    <x v="600"/>
    <x v="181"/>
    <s v="Emma Brown"/>
    <x v="3"/>
    <s v="Oceania"/>
    <x v="6"/>
    <x v="0"/>
    <n v="2"/>
    <n v="323.22000000000003"/>
    <n v="0.1"/>
    <n v="581.79999999999995"/>
    <n v="400"/>
    <n v="181.8"/>
    <s v="Credit Card"/>
    <x v="1"/>
  </r>
  <r>
    <x v="601"/>
    <x v="232"/>
    <s v="Sam Anderson"/>
    <x v="6"/>
    <s v="North America"/>
    <x v="4"/>
    <x v="1"/>
    <n v="3"/>
    <n v="249.73"/>
    <n v="0.1"/>
    <n v="674.27"/>
    <n v="450"/>
    <n v="224.27"/>
    <s v="Bank Transfer"/>
    <x v="2"/>
  </r>
  <r>
    <x v="602"/>
    <x v="280"/>
    <s v="Morgan Wilson"/>
    <x v="1"/>
    <s v="Asia"/>
    <x v="6"/>
    <x v="0"/>
    <n v="2"/>
    <n v="333.95"/>
    <n v="0"/>
    <n v="667.9"/>
    <n v="400"/>
    <n v="267.89999999999998"/>
    <s v="Debit Card"/>
    <x v="1"/>
  </r>
  <r>
    <x v="603"/>
    <x v="50"/>
    <s v="Liam Moore"/>
    <x v="5"/>
    <s v="Europe"/>
    <x v="4"/>
    <x v="1"/>
    <n v="3"/>
    <n v="257.11"/>
    <n v="0.05"/>
    <n v="732.76"/>
    <n v="450"/>
    <n v="282.76"/>
    <s v="Debit Card"/>
    <x v="2"/>
  </r>
  <r>
    <x v="604"/>
    <x v="244"/>
    <s v="Morgan Johnson"/>
    <x v="6"/>
    <s v="North America"/>
    <x v="1"/>
    <x v="0"/>
    <n v="2"/>
    <n v="184.95"/>
    <n v="0.1"/>
    <n v="332.91"/>
    <n v="220"/>
    <n v="112.91"/>
    <s v="PayPal"/>
    <x v="1"/>
  </r>
  <r>
    <x v="605"/>
    <x v="7"/>
    <s v="Casey Clark"/>
    <x v="0"/>
    <s v="Europe"/>
    <x v="6"/>
    <x v="0"/>
    <n v="1"/>
    <n v="344.82"/>
    <n v="0.05"/>
    <n v="327.58"/>
    <n v="200"/>
    <n v="127.58"/>
    <s v="Credit Card"/>
    <x v="1"/>
  </r>
  <r>
    <x v="606"/>
    <x v="185"/>
    <s v="Jordan Moore"/>
    <x v="1"/>
    <s v="Asia"/>
    <x v="6"/>
    <x v="0"/>
    <n v="2"/>
    <n v="347.23"/>
    <n v="0"/>
    <n v="694.46"/>
    <n v="400"/>
    <n v="294.45999999999998"/>
    <s v="Credit Card"/>
    <x v="0"/>
  </r>
  <r>
    <x v="607"/>
    <x v="19"/>
    <s v="Sam Wilson"/>
    <x v="6"/>
    <s v="North America"/>
    <x v="3"/>
    <x v="1"/>
    <n v="1"/>
    <n v="830.24"/>
    <n v="0.15"/>
    <n v="705.7"/>
    <n v="600"/>
    <n v="105.7"/>
    <s v="Debit Card"/>
    <x v="0"/>
  </r>
  <r>
    <x v="608"/>
    <x v="177"/>
    <s v="Mia Johnson"/>
    <x v="7"/>
    <s v="North America"/>
    <x v="0"/>
    <x v="0"/>
    <n v="4"/>
    <n v="272.02999999999997"/>
    <n v="0.1"/>
    <n v="979.31"/>
    <n v="680"/>
    <n v="299.31"/>
    <s v="Credit Card"/>
    <x v="0"/>
  </r>
  <r>
    <x v="609"/>
    <x v="301"/>
    <s v="Sam Lewis"/>
    <x v="3"/>
    <s v="Oceania"/>
    <x v="5"/>
    <x v="1"/>
    <n v="6"/>
    <n v="77.069999999999993"/>
    <n v="0.1"/>
    <n v="416.18"/>
    <n v="240"/>
    <n v="176.18"/>
    <s v="Credit Card"/>
    <x v="1"/>
  </r>
  <r>
    <x v="610"/>
    <x v="231"/>
    <s v="Noah Lewis"/>
    <x v="0"/>
    <s v="Europe"/>
    <x v="0"/>
    <x v="0"/>
    <n v="4"/>
    <n v="278.67"/>
    <n v="0"/>
    <n v="1114.68"/>
    <n v="680"/>
    <n v="434.68"/>
    <s v="Debit Card"/>
    <x v="0"/>
  </r>
  <r>
    <x v="611"/>
    <x v="302"/>
    <s v="Olivia Thomas"/>
    <x v="7"/>
    <s v="North America"/>
    <x v="3"/>
    <x v="1"/>
    <n v="5"/>
    <n v="891.72"/>
    <n v="0.05"/>
    <n v="4235.67"/>
    <n v="3000"/>
    <n v="1235.67"/>
    <s v="Credit Card"/>
    <x v="1"/>
  </r>
  <r>
    <x v="612"/>
    <x v="303"/>
    <s v="Noah Hall"/>
    <x v="7"/>
    <s v="North America"/>
    <x v="2"/>
    <x v="1"/>
    <n v="6"/>
    <n v="123.38"/>
    <n v="0.1"/>
    <n v="666.25"/>
    <n v="360"/>
    <n v="306.25"/>
    <s v="Debit Card"/>
    <x v="1"/>
  </r>
  <r>
    <x v="613"/>
    <x v="6"/>
    <s v="Riley Walker"/>
    <x v="2"/>
    <s v="Africa"/>
    <x v="3"/>
    <x v="1"/>
    <n v="1"/>
    <n v="881.95"/>
    <n v="0"/>
    <n v="881.95"/>
    <n v="600"/>
    <n v="281.95"/>
    <s v="Debit Card"/>
    <x v="2"/>
  </r>
  <r>
    <x v="614"/>
    <x v="275"/>
    <s v="Avery Smith"/>
    <x v="1"/>
    <s v="Asia"/>
    <x v="4"/>
    <x v="1"/>
    <n v="3"/>
    <n v="234.37"/>
    <n v="0.05"/>
    <n v="667.95"/>
    <n v="450"/>
    <n v="217.95"/>
    <s v="Bank Transfer"/>
    <x v="1"/>
  </r>
  <r>
    <x v="615"/>
    <x v="9"/>
    <s v="Chris Hall"/>
    <x v="5"/>
    <s v="Europe"/>
    <x v="5"/>
    <x v="1"/>
    <n v="2"/>
    <n v="77.23"/>
    <n v="0"/>
    <n v="154.46"/>
    <n v="80"/>
    <n v="74.459999999999994"/>
    <s v="Credit Card"/>
    <x v="0"/>
  </r>
  <r>
    <x v="616"/>
    <x v="304"/>
    <s v="Liam Davis"/>
    <x v="2"/>
    <s v="Africa"/>
    <x v="1"/>
    <x v="0"/>
    <n v="3"/>
    <n v="193.12"/>
    <n v="0.05"/>
    <n v="550.39"/>
    <n v="330"/>
    <n v="220.39"/>
    <s v="Credit Card"/>
    <x v="1"/>
  </r>
  <r>
    <x v="617"/>
    <x v="92"/>
    <s v="Daniel Davis"/>
    <x v="3"/>
    <s v="Oceania"/>
    <x v="0"/>
    <x v="0"/>
    <n v="3"/>
    <n v="280.94"/>
    <n v="0.1"/>
    <n v="758.54"/>
    <n v="510"/>
    <n v="248.54"/>
    <s v="Bank Transfer"/>
    <x v="2"/>
  </r>
  <r>
    <x v="618"/>
    <x v="188"/>
    <s v="Chris Walker"/>
    <x v="1"/>
    <s v="Asia"/>
    <x v="7"/>
    <x v="1"/>
    <n v="4"/>
    <n v="415.89"/>
    <n v="0"/>
    <n v="1663.56"/>
    <n v="1120"/>
    <n v="543.55999999999995"/>
    <s v="Debit Card"/>
    <x v="1"/>
  </r>
  <r>
    <x v="619"/>
    <x v="76"/>
    <s v="Sophia Thomas"/>
    <x v="2"/>
    <s v="Africa"/>
    <x v="7"/>
    <x v="1"/>
    <n v="2"/>
    <n v="431.61"/>
    <n v="0.1"/>
    <n v="776.9"/>
    <n v="560"/>
    <n v="216.9"/>
    <s v="Debit Card"/>
    <x v="0"/>
  </r>
  <r>
    <x v="620"/>
    <x v="129"/>
    <s v="Casey Clark"/>
    <x v="0"/>
    <s v="Europe"/>
    <x v="2"/>
    <x v="1"/>
    <n v="4"/>
    <n v="119.56"/>
    <n v="0"/>
    <n v="478.24"/>
    <n v="240"/>
    <n v="238.24"/>
    <s v="Credit Card"/>
    <x v="0"/>
  </r>
  <r>
    <x v="621"/>
    <x v="48"/>
    <s v="Olivia Martin"/>
    <x v="3"/>
    <s v="Oceania"/>
    <x v="0"/>
    <x v="0"/>
    <n v="2"/>
    <n v="268.27"/>
    <n v="0.05"/>
    <n v="509.71"/>
    <n v="340"/>
    <n v="169.71"/>
    <s v="Credit Card"/>
    <x v="1"/>
  </r>
  <r>
    <x v="622"/>
    <x v="266"/>
    <s v="Noah Martin"/>
    <x v="2"/>
    <s v="Africa"/>
    <x v="1"/>
    <x v="0"/>
    <n v="5"/>
    <n v="188.06"/>
    <n v="0.1"/>
    <n v="846.27"/>
    <n v="550"/>
    <n v="296.27"/>
    <s v="PayPal"/>
    <x v="1"/>
  </r>
  <r>
    <x v="623"/>
    <x v="189"/>
    <s v="Sophia Smith"/>
    <x v="7"/>
    <s v="North America"/>
    <x v="3"/>
    <x v="1"/>
    <n v="4"/>
    <n v="895"/>
    <n v="0"/>
    <n v="3580"/>
    <n v="2400"/>
    <n v="1180"/>
    <s v="Debit Card"/>
    <x v="2"/>
  </r>
  <r>
    <x v="624"/>
    <x v="305"/>
    <s v="Jordan Lewis"/>
    <x v="7"/>
    <s v="North America"/>
    <x v="0"/>
    <x v="0"/>
    <n v="3"/>
    <n v="287.26"/>
    <n v="0.15"/>
    <n v="732.51"/>
    <n v="510"/>
    <n v="222.51"/>
    <s v="Bank Transfer"/>
    <x v="2"/>
  </r>
  <r>
    <x v="625"/>
    <x v="148"/>
    <s v="Riley Martin"/>
    <x v="5"/>
    <s v="Europe"/>
    <x v="2"/>
    <x v="1"/>
    <n v="3"/>
    <n v="121.64"/>
    <n v="0.05"/>
    <n v="346.67"/>
    <n v="180"/>
    <n v="166.67"/>
    <s v="Credit Card"/>
    <x v="1"/>
  </r>
  <r>
    <x v="626"/>
    <x v="306"/>
    <s v="Noah Taylor"/>
    <x v="4"/>
    <s v="Africa"/>
    <x v="5"/>
    <x v="1"/>
    <n v="1"/>
    <n v="75.010000000000005"/>
    <n v="0.1"/>
    <n v="67.510000000000005"/>
    <n v="40"/>
    <n v="27.51"/>
    <s v="Bank Transfer"/>
    <x v="0"/>
  </r>
  <r>
    <x v="627"/>
    <x v="60"/>
    <s v="Alex Martin"/>
    <x v="7"/>
    <s v="North America"/>
    <x v="6"/>
    <x v="0"/>
    <n v="5"/>
    <n v="329.98"/>
    <n v="0.15"/>
    <n v="1402.42"/>
    <n v="1000"/>
    <n v="402.42"/>
    <s v="Bank Transfer"/>
    <x v="1"/>
  </r>
  <r>
    <x v="628"/>
    <x v="187"/>
    <s v="Sophia Johnson"/>
    <x v="2"/>
    <s v="Africa"/>
    <x v="5"/>
    <x v="1"/>
    <n v="4"/>
    <n v="71.73"/>
    <n v="0"/>
    <n v="286.92"/>
    <n v="160"/>
    <n v="126.92"/>
    <s v="Credit Card"/>
    <x v="1"/>
  </r>
  <r>
    <x v="629"/>
    <x v="162"/>
    <s v="Alex Clark"/>
    <x v="1"/>
    <s v="Asia"/>
    <x v="0"/>
    <x v="0"/>
    <n v="2"/>
    <n v="269.70999999999998"/>
    <n v="0.05"/>
    <n v="512.45000000000005"/>
    <n v="340"/>
    <n v="172.45"/>
    <s v="Bank Transfer"/>
    <x v="2"/>
  </r>
  <r>
    <x v="630"/>
    <x v="307"/>
    <s v="Daniel Martin"/>
    <x v="1"/>
    <s v="Asia"/>
    <x v="5"/>
    <x v="1"/>
    <n v="1"/>
    <n v="76.17"/>
    <n v="0"/>
    <n v="76.17"/>
    <n v="40"/>
    <n v="36.17"/>
    <s v="Credit Card"/>
    <x v="2"/>
  </r>
  <r>
    <x v="631"/>
    <x v="273"/>
    <s v="Avery Thomas"/>
    <x v="3"/>
    <s v="Oceania"/>
    <x v="7"/>
    <x v="1"/>
    <n v="2"/>
    <n v="419.91"/>
    <n v="0"/>
    <n v="839.82"/>
    <n v="560"/>
    <n v="279.82"/>
    <s v="PayPal"/>
    <x v="1"/>
  </r>
  <r>
    <x v="632"/>
    <x v="3"/>
    <s v="Ethan Hall"/>
    <x v="6"/>
    <s v="North America"/>
    <x v="0"/>
    <x v="0"/>
    <n v="1"/>
    <n v="281.89999999999998"/>
    <n v="0"/>
    <n v="281.89999999999998"/>
    <n v="170"/>
    <n v="111.9"/>
    <s v="Credit Card"/>
    <x v="2"/>
  </r>
  <r>
    <x v="633"/>
    <x v="294"/>
    <s v="Morgan Smith"/>
    <x v="0"/>
    <s v="Europe"/>
    <x v="0"/>
    <x v="0"/>
    <n v="1"/>
    <n v="295.79000000000002"/>
    <n v="0.1"/>
    <n v="266.20999999999998"/>
    <n v="170"/>
    <n v="96.21"/>
    <s v="Debit Card"/>
    <x v="2"/>
  </r>
  <r>
    <x v="634"/>
    <x v="19"/>
    <s v="Liam Smith"/>
    <x v="7"/>
    <s v="North America"/>
    <x v="2"/>
    <x v="1"/>
    <n v="3"/>
    <n v="117.14"/>
    <n v="0"/>
    <n v="351.42"/>
    <n v="180"/>
    <n v="171.42"/>
    <s v="Credit Card"/>
    <x v="1"/>
  </r>
  <r>
    <x v="635"/>
    <x v="308"/>
    <s v="Taylor Martin"/>
    <x v="6"/>
    <s v="North America"/>
    <x v="1"/>
    <x v="0"/>
    <n v="3"/>
    <n v="186.67"/>
    <n v="0.05"/>
    <n v="532.01"/>
    <n v="330"/>
    <n v="202.01"/>
    <s v="Debit Card"/>
    <x v="1"/>
  </r>
  <r>
    <x v="636"/>
    <x v="201"/>
    <s v="Chris Johnson"/>
    <x v="0"/>
    <s v="Europe"/>
    <x v="7"/>
    <x v="1"/>
    <n v="1"/>
    <n v="419.58"/>
    <n v="0.15"/>
    <n v="356.64"/>
    <n v="280"/>
    <n v="76.64"/>
    <s v="Credit Card"/>
    <x v="1"/>
  </r>
  <r>
    <x v="637"/>
    <x v="230"/>
    <s v="Emma Wilson"/>
    <x v="0"/>
    <s v="Europe"/>
    <x v="1"/>
    <x v="0"/>
    <n v="1"/>
    <n v="200.31"/>
    <n v="0.1"/>
    <n v="180.28"/>
    <n v="110"/>
    <n v="70.28"/>
    <s v="Debit Card"/>
    <x v="1"/>
  </r>
  <r>
    <x v="638"/>
    <x v="62"/>
    <s v="Avery Thomas"/>
    <x v="4"/>
    <s v="Africa"/>
    <x v="3"/>
    <x v="1"/>
    <n v="1"/>
    <n v="829.8"/>
    <n v="0"/>
    <n v="829.8"/>
    <n v="600"/>
    <n v="229.8"/>
    <s v="Debit Card"/>
    <x v="1"/>
  </r>
  <r>
    <x v="639"/>
    <x v="196"/>
    <s v="Casey Anderson"/>
    <x v="1"/>
    <s v="Asia"/>
    <x v="5"/>
    <x v="1"/>
    <n v="4"/>
    <n v="73.45"/>
    <n v="0.05"/>
    <n v="279.11"/>
    <n v="160"/>
    <n v="119.11"/>
    <s v="Credit Card"/>
    <x v="1"/>
  </r>
  <r>
    <x v="640"/>
    <x v="309"/>
    <s v="Morgan Thomas"/>
    <x v="6"/>
    <s v="North America"/>
    <x v="2"/>
    <x v="1"/>
    <n v="4"/>
    <n v="128.85"/>
    <n v="0"/>
    <n v="515.4"/>
    <n v="240"/>
    <n v="275.39999999999998"/>
    <s v="Debit Card"/>
    <x v="1"/>
  </r>
  <r>
    <x v="641"/>
    <x v="141"/>
    <s v="Chris Wilson"/>
    <x v="0"/>
    <s v="Europe"/>
    <x v="7"/>
    <x v="1"/>
    <n v="4"/>
    <n v="403.73"/>
    <n v="0.15"/>
    <n v="1372.68"/>
    <n v="1120"/>
    <n v="252.68"/>
    <s v="PayPal"/>
    <x v="1"/>
  </r>
  <r>
    <x v="642"/>
    <x v="55"/>
    <s v="Mia Martin"/>
    <x v="5"/>
    <s v="Europe"/>
    <x v="0"/>
    <x v="0"/>
    <n v="6"/>
    <n v="277.17"/>
    <n v="0"/>
    <n v="1663.02"/>
    <n v="1020"/>
    <n v="643.02"/>
    <s v="Credit Card"/>
    <x v="0"/>
  </r>
  <r>
    <x v="643"/>
    <x v="19"/>
    <s v="Sophia Martin"/>
    <x v="4"/>
    <s v="Africa"/>
    <x v="3"/>
    <x v="1"/>
    <n v="1"/>
    <n v="909.56"/>
    <n v="0.05"/>
    <n v="864.08"/>
    <n v="600"/>
    <n v="264.08"/>
    <s v="Credit Card"/>
    <x v="1"/>
  </r>
  <r>
    <x v="644"/>
    <x v="310"/>
    <s v="Ethan Thomas"/>
    <x v="4"/>
    <s v="Africa"/>
    <x v="2"/>
    <x v="1"/>
    <n v="1"/>
    <n v="128.88999999999999"/>
    <n v="0"/>
    <n v="128.88999999999999"/>
    <n v="60"/>
    <n v="68.89"/>
    <s v="Credit Card"/>
    <x v="1"/>
  </r>
  <r>
    <x v="645"/>
    <x v="311"/>
    <s v="Taylor Hall"/>
    <x v="0"/>
    <s v="Europe"/>
    <x v="0"/>
    <x v="0"/>
    <n v="2"/>
    <n v="267.70999999999998"/>
    <n v="0.1"/>
    <n v="481.88"/>
    <n v="340"/>
    <n v="141.88"/>
    <s v="Credit Card"/>
    <x v="1"/>
  </r>
  <r>
    <x v="646"/>
    <x v="113"/>
    <s v="Drew Lewis"/>
    <x v="2"/>
    <s v="Africa"/>
    <x v="5"/>
    <x v="1"/>
    <n v="2"/>
    <n v="73.61"/>
    <n v="0"/>
    <n v="147.22"/>
    <n v="80"/>
    <n v="67.22"/>
    <s v="Credit Card"/>
    <x v="1"/>
  </r>
  <r>
    <x v="647"/>
    <x v="37"/>
    <s v="Taylor Hall"/>
    <x v="3"/>
    <s v="Oceania"/>
    <x v="1"/>
    <x v="0"/>
    <n v="2"/>
    <n v="181.92"/>
    <n v="0"/>
    <n v="363.84"/>
    <n v="220"/>
    <n v="143.84"/>
    <s v="PayPal"/>
    <x v="1"/>
  </r>
  <r>
    <x v="648"/>
    <x v="312"/>
    <s v="Morgan Anderson"/>
    <x v="2"/>
    <s v="Africa"/>
    <x v="6"/>
    <x v="0"/>
    <n v="4"/>
    <n v="320.68"/>
    <n v="0"/>
    <n v="1282.72"/>
    <n v="800"/>
    <n v="482.72"/>
    <s v="Credit Card"/>
    <x v="0"/>
  </r>
  <r>
    <x v="649"/>
    <x v="161"/>
    <s v="Sophia Clark"/>
    <x v="3"/>
    <s v="Oceania"/>
    <x v="6"/>
    <x v="0"/>
    <n v="1"/>
    <n v="350.11"/>
    <n v="0"/>
    <n v="350.11"/>
    <n v="200"/>
    <n v="150.11000000000001"/>
    <s v="Debit Card"/>
    <x v="0"/>
  </r>
  <r>
    <x v="650"/>
    <x v="313"/>
    <s v="Chris Hall"/>
    <x v="6"/>
    <s v="North America"/>
    <x v="4"/>
    <x v="1"/>
    <n v="3"/>
    <n v="257.29000000000002"/>
    <n v="0"/>
    <n v="771.87"/>
    <n v="450"/>
    <n v="321.87"/>
    <s v="PayPal"/>
    <x v="2"/>
  </r>
  <r>
    <x v="651"/>
    <x v="30"/>
    <s v="Morgan Young"/>
    <x v="7"/>
    <s v="North America"/>
    <x v="3"/>
    <x v="1"/>
    <n v="6"/>
    <n v="819.78"/>
    <n v="0"/>
    <n v="4918.68"/>
    <n v="3600"/>
    <n v="1318.68"/>
    <s v="PayPal"/>
    <x v="1"/>
  </r>
  <r>
    <x v="652"/>
    <x v="191"/>
    <s v="Emma Smith"/>
    <x v="4"/>
    <s v="Africa"/>
    <x v="5"/>
    <x v="1"/>
    <n v="1"/>
    <n v="76.25"/>
    <n v="0.2"/>
    <n v="61"/>
    <n v="40"/>
    <n v="21"/>
    <s v="Debit Card"/>
    <x v="0"/>
  </r>
  <r>
    <x v="653"/>
    <x v="207"/>
    <s v="Mia Lewis"/>
    <x v="7"/>
    <s v="North America"/>
    <x v="6"/>
    <x v="0"/>
    <n v="1"/>
    <n v="341.71"/>
    <n v="0"/>
    <n v="341.71"/>
    <n v="200"/>
    <n v="141.71"/>
    <s v="Credit Card"/>
    <x v="1"/>
  </r>
  <r>
    <x v="654"/>
    <x v="72"/>
    <s v="Cameron Walker"/>
    <x v="5"/>
    <s v="Europe"/>
    <x v="7"/>
    <x v="1"/>
    <n v="4"/>
    <n v="423.94"/>
    <n v="0"/>
    <n v="1695.76"/>
    <n v="1120"/>
    <n v="575.76"/>
    <s v="Credit Card"/>
    <x v="1"/>
  </r>
  <r>
    <x v="655"/>
    <x v="306"/>
    <s v="Olivia Anderson"/>
    <x v="2"/>
    <s v="Africa"/>
    <x v="2"/>
    <x v="1"/>
    <n v="6"/>
    <n v="115.51"/>
    <n v="0"/>
    <n v="693.06"/>
    <n v="360"/>
    <n v="333.06"/>
    <s v="Bank Transfer"/>
    <x v="2"/>
  </r>
  <r>
    <x v="656"/>
    <x v="312"/>
    <s v="Riley Taylor"/>
    <x v="6"/>
    <s v="North America"/>
    <x v="3"/>
    <x v="1"/>
    <n v="4"/>
    <n v="859.18"/>
    <n v="0"/>
    <n v="3436.72"/>
    <n v="2400"/>
    <n v="1036.72"/>
    <s v="Debit Card"/>
    <x v="1"/>
  </r>
  <r>
    <x v="657"/>
    <x v="117"/>
    <s v="Olivia Davis"/>
    <x v="6"/>
    <s v="North America"/>
    <x v="0"/>
    <x v="0"/>
    <n v="4"/>
    <n v="276.72000000000003"/>
    <n v="0.15"/>
    <n v="940.85"/>
    <n v="680"/>
    <n v="260.85000000000002"/>
    <s v="Debit Card"/>
    <x v="1"/>
  </r>
  <r>
    <x v="658"/>
    <x v="129"/>
    <s v="Liam Thomas"/>
    <x v="6"/>
    <s v="North America"/>
    <x v="3"/>
    <x v="1"/>
    <n v="4"/>
    <n v="911.96"/>
    <n v="0.05"/>
    <n v="3465.45"/>
    <n v="2400"/>
    <n v="1065.45"/>
    <s v="PayPal"/>
    <x v="1"/>
  </r>
  <r>
    <x v="659"/>
    <x v="238"/>
    <s v="Sophia Smith"/>
    <x v="6"/>
    <s v="North America"/>
    <x v="5"/>
    <x v="1"/>
    <n v="1"/>
    <n v="74.41"/>
    <n v="0.05"/>
    <n v="70.69"/>
    <n v="40"/>
    <n v="30.69"/>
    <s v="PayPal"/>
    <x v="1"/>
  </r>
  <r>
    <x v="660"/>
    <x v="163"/>
    <s v="Mia Anderson"/>
    <x v="5"/>
    <s v="Europe"/>
    <x v="3"/>
    <x v="1"/>
    <n v="2"/>
    <n v="847.03"/>
    <n v="0.1"/>
    <n v="1524.65"/>
    <n v="1200"/>
    <n v="324.64999999999998"/>
    <s v="Credit Card"/>
    <x v="1"/>
  </r>
  <r>
    <x v="661"/>
    <x v="305"/>
    <s v="Mia Smith"/>
    <x v="4"/>
    <s v="Africa"/>
    <x v="1"/>
    <x v="0"/>
    <n v="6"/>
    <n v="188.77"/>
    <n v="0.15"/>
    <n v="962.73"/>
    <n v="660"/>
    <n v="302.73"/>
    <s v="PayPal"/>
    <x v="1"/>
  </r>
  <r>
    <x v="662"/>
    <x v="257"/>
    <s v="Daniel Moore"/>
    <x v="5"/>
    <s v="Europe"/>
    <x v="2"/>
    <x v="1"/>
    <n v="3"/>
    <n v="123.52"/>
    <n v="0.05"/>
    <n v="352.03"/>
    <n v="180"/>
    <n v="172.03"/>
    <s v="Credit Card"/>
    <x v="1"/>
  </r>
  <r>
    <x v="663"/>
    <x v="9"/>
    <s v="Avery Smith"/>
    <x v="2"/>
    <s v="Africa"/>
    <x v="5"/>
    <x v="1"/>
    <n v="3"/>
    <n v="79.7"/>
    <n v="0"/>
    <n v="239.1"/>
    <n v="120"/>
    <n v="119.1"/>
    <s v="PayPal"/>
    <x v="1"/>
  </r>
  <r>
    <x v="664"/>
    <x v="314"/>
    <s v="Noah Wilson"/>
    <x v="2"/>
    <s v="Africa"/>
    <x v="5"/>
    <x v="1"/>
    <n v="4"/>
    <n v="73.900000000000006"/>
    <n v="0"/>
    <n v="295.60000000000002"/>
    <n v="160"/>
    <n v="135.6"/>
    <s v="Debit Card"/>
    <x v="0"/>
  </r>
  <r>
    <x v="665"/>
    <x v="188"/>
    <s v="Alex Young"/>
    <x v="7"/>
    <s v="North America"/>
    <x v="3"/>
    <x v="1"/>
    <n v="4"/>
    <n v="809.01"/>
    <n v="0.1"/>
    <n v="2912.44"/>
    <n v="2400"/>
    <n v="512.44000000000005"/>
    <s v="Credit Card"/>
    <x v="1"/>
  </r>
  <r>
    <x v="666"/>
    <x v="8"/>
    <s v="Alex Wilson"/>
    <x v="4"/>
    <s v="Africa"/>
    <x v="2"/>
    <x v="1"/>
    <n v="3"/>
    <n v="126.64"/>
    <n v="0"/>
    <n v="379.92"/>
    <n v="180"/>
    <n v="199.92"/>
    <s v="Credit Card"/>
    <x v="1"/>
  </r>
  <r>
    <x v="667"/>
    <x v="35"/>
    <s v="Liam Hall"/>
    <x v="5"/>
    <s v="Europe"/>
    <x v="2"/>
    <x v="1"/>
    <n v="1"/>
    <n v="122"/>
    <n v="0"/>
    <n v="122"/>
    <n v="60"/>
    <n v="62"/>
    <s v="Credit Card"/>
    <x v="2"/>
  </r>
  <r>
    <x v="668"/>
    <x v="149"/>
    <s v="Jordan Anderson"/>
    <x v="6"/>
    <s v="North America"/>
    <x v="0"/>
    <x v="0"/>
    <n v="1"/>
    <n v="294.35000000000002"/>
    <n v="0.05"/>
    <n v="279.63"/>
    <n v="170"/>
    <n v="109.63"/>
    <s v="Debit Card"/>
    <x v="1"/>
  </r>
  <r>
    <x v="669"/>
    <x v="195"/>
    <s v="Morgan Anderson"/>
    <x v="2"/>
    <s v="Africa"/>
    <x v="1"/>
    <x v="0"/>
    <n v="6"/>
    <n v="186.62"/>
    <n v="0.15"/>
    <n v="951.76"/>
    <n v="660"/>
    <n v="291.76"/>
    <s v="PayPal"/>
    <x v="1"/>
  </r>
  <r>
    <x v="670"/>
    <x v="133"/>
    <s v="Jamie Anderson"/>
    <x v="7"/>
    <s v="North America"/>
    <x v="2"/>
    <x v="1"/>
    <n v="1"/>
    <n v="115.86"/>
    <n v="0"/>
    <n v="115.86"/>
    <n v="60"/>
    <n v="55.86"/>
    <s v="Credit Card"/>
    <x v="1"/>
  </r>
  <r>
    <x v="671"/>
    <x v="37"/>
    <s v="Drew Taylor"/>
    <x v="3"/>
    <s v="Oceania"/>
    <x v="3"/>
    <x v="1"/>
    <n v="1"/>
    <n v="886.08"/>
    <n v="0.15"/>
    <n v="753.17"/>
    <n v="600"/>
    <n v="153.16999999999999"/>
    <s v="Bank Transfer"/>
    <x v="1"/>
  </r>
  <r>
    <x v="672"/>
    <x v="50"/>
    <s v="Cameron Young"/>
    <x v="3"/>
    <s v="Oceania"/>
    <x v="6"/>
    <x v="0"/>
    <n v="3"/>
    <n v="325.87"/>
    <n v="0.1"/>
    <n v="879.85"/>
    <n v="600"/>
    <n v="279.85000000000002"/>
    <s v="PayPal"/>
    <x v="1"/>
  </r>
  <r>
    <x v="673"/>
    <x v="71"/>
    <s v="Jordan Lewis"/>
    <x v="7"/>
    <s v="North America"/>
    <x v="6"/>
    <x v="0"/>
    <n v="2"/>
    <n v="320.51"/>
    <n v="0.2"/>
    <n v="512.82000000000005"/>
    <n v="400"/>
    <n v="112.82"/>
    <s v="Bank Transfer"/>
    <x v="0"/>
  </r>
  <r>
    <x v="674"/>
    <x v="210"/>
    <s v="Taylor Walker"/>
    <x v="7"/>
    <s v="North America"/>
    <x v="1"/>
    <x v="0"/>
    <n v="1"/>
    <n v="204.05"/>
    <n v="0"/>
    <n v="204.05"/>
    <n v="110"/>
    <n v="94.05"/>
    <s v="Credit Card"/>
    <x v="1"/>
  </r>
  <r>
    <x v="675"/>
    <x v="115"/>
    <s v="Daniel Taylor"/>
    <x v="4"/>
    <s v="Africa"/>
    <x v="1"/>
    <x v="0"/>
    <n v="4"/>
    <n v="198.17"/>
    <n v="0"/>
    <n v="792.68"/>
    <n v="440"/>
    <n v="352.68"/>
    <s v="Bank Transfer"/>
    <x v="2"/>
  </r>
  <r>
    <x v="676"/>
    <x v="218"/>
    <s v="Taylor Brown"/>
    <x v="4"/>
    <s v="Africa"/>
    <x v="2"/>
    <x v="1"/>
    <n v="1"/>
    <n v="127.6"/>
    <n v="0.1"/>
    <n v="114.84"/>
    <n v="60"/>
    <n v="54.84"/>
    <s v="Debit Card"/>
    <x v="1"/>
  </r>
  <r>
    <x v="677"/>
    <x v="254"/>
    <s v="Morgan Hall"/>
    <x v="2"/>
    <s v="Africa"/>
    <x v="2"/>
    <x v="1"/>
    <n v="1"/>
    <n v="126.13"/>
    <n v="0.05"/>
    <n v="119.82"/>
    <n v="60"/>
    <n v="59.82"/>
    <s v="PayPal"/>
    <x v="1"/>
  </r>
  <r>
    <x v="678"/>
    <x v="106"/>
    <s v="Mia Davis"/>
    <x v="0"/>
    <s v="Europe"/>
    <x v="1"/>
    <x v="0"/>
    <n v="1"/>
    <n v="205.03"/>
    <n v="0.05"/>
    <n v="194.78"/>
    <n v="110"/>
    <n v="84.78"/>
    <s v="Credit Card"/>
    <x v="1"/>
  </r>
  <r>
    <x v="679"/>
    <x v="276"/>
    <s v="Casey Davis"/>
    <x v="3"/>
    <s v="Oceania"/>
    <x v="2"/>
    <x v="1"/>
    <n v="4"/>
    <n v="120.96"/>
    <n v="0"/>
    <n v="483.84"/>
    <n v="240"/>
    <n v="243.84"/>
    <s v="PayPal"/>
    <x v="1"/>
  </r>
  <r>
    <x v="680"/>
    <x v="260"/>
    <s v="Riley Taylor"/>
    <x v="4"/>
    <s v="Africa"/>
    <x v="0"/>
    <x v="0"/>
    <n v="3"/>
    <n v="266.83999999999997"/>
    <n v="0.15"/>
    <n v="680.44"/>
    <n v="510"/>
    <n v="170.44"/>
    <s v="Debit Card"/>
    <x v="1"/>
  </r>
  <r>
    <x v="681"/>
    <x v="315"/>
    <s v="Drew Martin"/>
    <x v="1"/>
    <s v="Asia"/>
    <x v="0"/>
    <x v="0"/>
    <n v="2"/>
    <n v="267.48"/>
    <n v="0.1"/>
    <n v="481.46"/>
    <n v="340"/>
    <n v="141.46"/>
    <s v="Bank Transfer"/>
    <x v="1"/>
  </r>
  <r>
    <x v="682"/>
    <x v="213"/>
    <s v="Daniel Moore"/>
    <x v="5"/>
    <s v="Europe"/>
    <x v="0"/>
    <x v="0"/>
    <n v="2"/>
    <n v="267.75"/>
    <n v="0"/>
    <n v="535.5"/>
    <n v="340"/>
    <n v="195.5"/>
    <s v="Credit Card"/>
    <x v="1"/>
  </r>
  <r>
    <x v="683"/>
    <x v="105"/>
    <s v="Noah Taylor"/>
    <x v="3"/>
    <s v="Oceania"/>
    <x v="3"/>
    <x v="1"/>
    <n v="2"/>
    <n v="841.11"/>
    <n v="0"/>
    <n v="1682.22"/>
    <n v="1200"/>
    <n v="482.22"/>
    <s v="Credit Card"/>
    <x v="0"/>
  </r>
  <r>
    <x v="684"/>
    <x v="316"/>
    <s v="Daniel Smith"/>
    <x v="6"/>
    <s v="North America"/>
    <x v="4"/>
    <x v="1"/>
    <n v="3"/>
    <n v="246.01"/>
    <n v="0.1"/>
    <n v="664.23"/>
    <n v="450"/>
    <n v="214.23"/>
    <s v="Debit Card"/>
    <x v="1"/>
  </r>
  <r>
    <x v="685"/>
    <x v="4"/>
    <s v="Drew Young"/>
    <x v="2"/>
    <s v="Africa"/>
    <x v="6"/>
    <x v="0"/>
    <n v="1"/>
    <n v="321.11"/>
    <n v="0"/>
    <n v="321.11"/>
    <n v="200"/>
    <n v="121.11"/>
    <s v="Credit Card"/>
    <x v="2"/>
  </r>
  <r>
    <x v="686"/>
    <x v="239"/>
    <s v="Jordan Hall"/>
    <x v="3"/>
    <s v="Oceania"/>
    <x v="3"/>
    <x v="1"/>
    <n v="1"/>
    <n v="861.48"/>
    <n v="0.05"/>
    <n v="818.41"/>
    <n v="600"/>
    <n v="218.41"/>
    <s v="Bank Transfer"/>
    <x v="1"/>
  </r>
  <r>
    <x v="687"/>
    <x v="131"/>
    <s v="Mia Clark"/>
    <x v="3"/>
    <s v="Oceania"/>
    <x v="5"/>
    <x v="1"/>
    <n v="4"/>
    <n v="77.349999999999994"/>
    <n v="0.1"/>
    <n v="278.45999999999998"/>
    <n v="160"/>
    <n v="118.46"/>
    <s v="Credit Card"/>
    <x v="1"/>
  </r>
  <r>
    <x v="688"/>
    <x v="35"/>
    <s v="Emma Martin"/>
    <x v="4"/>
    <s v="Africa"/>
    <x v="2"/>
    <x v="1"/>
    <n v="2"/>
    <n v="123.52"/>
    <n v="0.15"/>
    <n v="209.98"/>
    <n v="120"/>
    <n v="89.98"/>
    <s v="Debit Card"/>
    <x v="2"/>
  </r>
  <r>
    <x v="689"/>
    <x v="317"/>
    <s v="Taylor Thomas"/>
    <x v="4"/>
    <s v="Africa"/>
    <x v="6"/>
    <x v="0"/>
    <n v="3"/>
    <n v="350.9"/>
    <n v="0"/>
    <n v="1052.7"/>
    <n v="600"/>
    <n v="452.7"/>
    <s v="Credit Card"/>
    <x v="0"/>
  </r>
  <r>
    <x v="690"/>
    <x v="159"/>
    <s v="Jamie Hall"/>
    <x v="2"/>
    <s v="Africa"/>
    <x v="7"/>
    <x v="1"/>
    <n v="1"/>
    <n v="421.27"/>
    <n v="0"/>
    <n v="421.27"/>
    <n v="280"/>
    <n v="141.27000000000001"/>
    <s v="Credit Card"/>
    <x v="1"/>
  </r>
  <r>
    <x v="691"/>
    <x v="70"/>
    <s v="Avery Smith"/>
    <x v="7"/>
    <s v="North America"/>
    <x v="2"/>
    <x v="1"/>
    <n v="3"/>
    <n v="124.14"/>
    <n v="0"/>
    <n v="372.42"/>
    <n v="180"/>
    <n v="192.42"/>
    <s v="PayPal"/>
    <x v="1"/>
  </r>
  <r>
    <x v="692"/>
    <x v="171"/>
    <s v="Casey Moore"/>
    <x v="5"/>
    <s v="Europe"/>
    <x v="7"/>
    <x v="1"/>
    <n v="4"/>
    <n v="424.08"/>
    <n v="0.1"/>
    <n v="1526.69"/>
    <n v="1120"/>
    <n v="406.69"/>
    <s v="Debit Card"/>
    <x v="1"/>
  </r>
  <r>
    <x v="693"/>
    <x v="205"/>
    <s v="Emma Taylor"/>
    <x v="3"/>
    <s v="Oceania"/>
    <x v="7"/>
    <x v="1"/>
    <n v="1"/>
    <n v="449.86"/>
    <n v="0"/>
    <n v="449.86"/>
    <n v="280"/>
    <n v="169.86"/>
    <s v="PayPal"/>
    <x v="0"/>
  </r>
  <r>
    <x v="694"/>
    <x v="227"/>
    <s v="Riley Wilson"/>
    <x v="4"/>
    <s v="Africa"/>
    <x v="0"/>
    <x v="0"/>
    <n v="3"/>
    <n v="270.83999999999997"/>
    <n v="0.1"/>
    <n v="731.27"/>
    <n v="510"/>
    <n v="221.27"/>
    <s v="Credit Card"/>
    <x v="2"/>
  </r>
  <r>
    <x v="695"/>
    <x v="121"/>
    <s v="Liam Anderson"/>
    <x v="1"/>
    <s v="Asia"/>
    <x v="0"/>
    <x v="0"/>
    <n v="1"/>
    <n v="296.02999999999997"/>
    <n v="0.1"/>
    <n v="266.43"/>
    <n v="170"/>
    <n v="96.43"/>
    <s v="Debit Card"/>
    <x v="0"/>
  </r>
  <r>
    <x v="696"/>
    <x v="318"/>
    <s v="Sam Thomas"/>
    <x v="2"/>
    <s v="Africa"/>
    <x v="7"/>
    <x v="1"/>
    <n v="1"/>
    <n v="444.8"/>
    <n v="0"/>
    <n v="444.8"/>
    <n v="280"/>
    <n v="164.8"/>
    <s v="Credit Card"/>
    <x v="2"/>
  </r>
  <r>
    <x v="697"/>
    <x v="319"/>
    <s v="Daniel Thomas"/>
    <x v="2"/>
    <s v="Africa"/>
    <x v="0"/>
    <x v="0"/>
    <n v="1"/>
    <n v="262.14"/>
    <n v="0.05"/>
    <n v="249.03"/>
    <n v="170"/>
    <n v="79.03"/>
    <s v="PayPal"/>
    <x v="1"/>
  </r>
  <r>
    <x v="698"/>
    <x v="283"/>
    <s v="Liam Davis"/>
    <x v="4"/>
    <s v="Africa"/>
    <x v="1"/>
    <x v="0"/>
    <n v="3"/>
    <n v="199.1"/>
    <n v="0.05"/>
    <n v="567.42999999999995"/>
    <n v="330"/>
    <n v="237.43"/>
    <s v="Credit Card"/>
    <x v="1"/>
  </r>
  <r>
    <x v="699"/>
    <x v="30"/>
    <s v="Liam Taylor"/>
    <x v="3"/>
    <s v="Oceania"/>
    <x v="4"/>
    <x v="1"/>
    <n v="2"/>
    <n v="244.39"/>
    <n v="0"/>
    <n v="488.78"/>
    <n v="300"/>
    <n v="188.78"/>
    <s v="Credit Card"/>
    <x v="0"/>
  </r>
  <r>
    <x v="700"/>
    <x v="154"/>
    <s v="Olivia Clark"/>
    <x v="6"/>
    <s v="North America"/>
    <x v="4"/>
    <x v="1"/>
    <n v="6"/>
    <n v="241.75"/>
    <n v="0.15"/>
    <n v="1232.92"/>
    <n v="900"/>
    <n v="332.92"/>
    <s v="PayPal"/>
    <x v="2"/>
  </r>
  <r>
    <x v="701"/>
    <x v="222"/>
    <s v="Noah Johnson"/>
    <x v="4"/>
    <s v="Africa"/>
    <x v="7"/>
    <x v="1"/>
    <n v="1"/>
    <n v="405.89"/>
    <n v="0"/>
    <n v="405.89"/>
    <n v="280"/>
    <n v="125.89"/>
    <s v="Bank Transfer"/>
    <x v="0"/>
  </r>
  <r>
    <x v="702"/>
    <x v="21"/>
    <s v="Jamie Walker"/>
    <x v="3"/>
    <s v="Oceania"/>
    <x v="7"/>
    <x v="1"/>
    <n v="2"/>
    <n v="416.94"/>
    <n v="0"/>
    <n v="833.88"/>
    <n v="560"/>
    <n v="273.88"/>
    <s v="Credit Card"/>
    <x v="2"/>
  </r>
  <r>
    <x v="703"/>
    <x v="2"/>
    <s v="Avery Thomas"/>
    <x v="7"/>
    <s v="North America"/>
    <x v="7"/>
    <x v="1"/>
    <n v="4"/>
    <n v="439.81"/>
    <n v="0"/>
    <n v="1759.24"/>
    <n v="1120"/>
    <n v="639.24"/>
    <s v="Credit Card"/>
    <x v="2"/>
  </r>
  <r>
    <x v="704"/>
    <x v="298"/>
    <s v="Taylor Hall"/>
    <x v="5"/>
    <s v="Europe"/>
    <x v="3"/>
    <x v="1"/>
    <n v="1"/>
    <n v="830.7"/>
    <n v="0.15"/>
    <n v="706.1"/>
    <n v="600"/>
    <n v="106.1"/>
    <s v="Bank Transfer"/>
    <x v="1"/>
  </r>
  <r>
    <x v="705"/>
    <x v="241"/>
    <s v="Morgan Thomas"/>
    <x v="7"/>
    <s v="North America"/>
    <x v="0"/>
    <x v="0"/>
    <n v="1"/>
    <n v="288.38"/>
    <n v="0"/>
    <n v="288.38"/>
    <n v="170"/>
    <n v="118.38"/>
    <s v="Credit Card"/>
    <x v="2"/>
  </r>
  <r>
    <x v="706"/>
    <x v="128"/>
    <s v="Sophia Davis"/>
    <x v="1"/>
    <s v="Asia"/>
    <x v="4"/>
    <x v="1"/>
    <n v="3"/>
    <n v="251.55"/>
    <n v="0.05"/>
    <n v="716.92"/>
    <n v="450"/>
    <n v="266.92"/>
    <s v="Debit Card"/>
    <x v="1"/>
  </r>
  <r>
    <x v="707"/>
    <x v="217"/>
    <s v="Avery Brown"/>
    <x v="7"/>
    <s v="North America"/>
    <x v="7"/>
    <x v="1"/>
    <n v="2"/>
    <n v="429.83"/>
    <n v="0"/>
    <n v="859.66"/>
    <n v="560"/>
    <n v="299.66000000000003"/>
    <s v="Credit Card"/>
    <x v="0"/>
  </r>
  <r>
    <x v="708"/>
    <x v="29"/>
    <s v="Morgan Davis"/>
    <x v="4"/>
    <s v="Africa"/>
    <x v="1"/>
    <x v="0"/>
    <n v="3"/>
    <n v="184.67"/>
    <n v="0.15"/>
    <n v="470.91"/>
    <n v="330"/>
    <n v="140.91"/>
    <s v="Debit Card"/>
    <x v="0"/>
  </r>
  <r>
    <x v="709"/>
    <x v="184"/>
    <s v="Morgan Moore"/>
    <x v="4"/>
    <s v="Africa"/>
    <x v="3"/>
    <x v="1"/>
    <n v="2"/>
    <n v="897.92"/>
    <n v="0"/>
    <n v="1795.84"/>
    <n v="1200"/>
    <n v="595.84"/>
    <s v="Debit Card"/>
    <x v="1"/>
  </r>
  <r>
    <x v="710"/>
    <x v="73"/>
    <s v="Daniel Wilson"/>
    <x v="6"/>
    <s v="North America"/>
    <x v="0"/>
    <x v="0"/>
    <n v="1"/>
    <n v="284.25"/>
    <n v="0"/>
    <n v="284.25"/>
    <n v="170"/>
    <n v="114.25"/>
    <s v="Credit Card"/>
    <x v="1"/>
  </r>
  <r>
    <x v="711"/>
    <x v="320"/>
    <s v="Jordan Wilson"/>
    <x v="0"/>
    <s v="Europe"/>
    <x v="0"/>
    <x v="0"/>
    <n v="1"/>
    <n v="274.33"/>
    <n v="0"/>
    <n v="274.33"/>
    <n v="170"/>
    <n v="104.33"/>
    <s v="Credit Card"/>
    <x v="1"/>
  </r>
  <r>
    <x v="712"/>
    <x v="35"/>
    <s v="Sophia Moore"/>
    <x v="3"/>
    <s v="Oceania"/>
    <x v="0"/>
    <x v="0"/>
    <n v="1"/>
    <n v="293.10000000000002"/>
    <n v="0.05"/>
    <n v="278.44"/>
    <n v="170"/>
    <n v="108.44"/>
    <s v="Debit Card"/>
    <x v="1"/>
  </r>
  <r>
    <x v="713"/>
    <x v="240"/>
    <s v="Avery Martin"/>
    <x v="0"/>
    <s v="Europe"/>
    <x v="1"/>
    <x v="0"/>
    <n v="3"/>
    <n v="204.84"/>
    <n v="0.2"/>
    <n v="491.62"/>
    <n v="330"/>
    <n v="161.62"/>
    <s v="Credit Card"/>
    <x v="2"/>
  </r>
  <r>
    <x v="714"/>
    <x v="127"/>
    <s v="Avery Hall"/>
    <x v="6"/>
    <s v="North America"/>
    <x v="2"/>
    <x v="1"/>
    <n v="4"/>
    <n v="120.99"/>
    <n v="0.1"/>
    <n v="435.56"/>
    <n v="240"/>
    <n v="195.56"/>
    <s v="Debit Card"/>
    <x v="1"/>
  </r>
  <r>
    <x v="715"/>
    <x v="268"/>
    <s v="Drew Moore"/>
    <x v="7"/>
    <s v="North America"/>
    <x v="7"/>
    <x v="1"/>
    <n v="2"/>
    <n v="451.02"/>
    <n v="0.15"/>
    <n v="766.73"/>
    <n v="560"/>
    <n v="206.73"/>
    <s v="Debit Card"/>
    <x v="1"/>
  </r>
  <r>
    <x v="716"/>
    <x v="99"/>
    <s v="Emma Taylor"/>
    <x v="6"/>
    <s v="North America"/>
    <x v="6"/>
    <x v="0"/>
    <n v="5"/>
    <n v="339.21"/>
    <n v="0.05"/>
    <n v="1611.25"/>
    <n v="1000"/>
    <n v="611.25"/>
    <s v="Bank Transfer"/>
    <x v="1"/>
  </r>
  <r>
    <x v="717"/>
    <x v="179"/>
    <s v="Sam Hall"/>
    <x v="0"/>
    <s v="Europe"/>
    <x v="7"/>
    <x v="1"/>
    <n v="2"/>
    <n v="448.04"/>
    <n v="0"/>
    <n v="896.08"/>
    <n v="560"/>
    <n v="336.08"/>
    <s v="PayPal"/>
    <x v="0"/>
  </r>
  <r>
    <x v="718"/>
    <x v="204"/>
    <s v="Liam Moore"/>
    <x v="1"/>
    <s v="Asia"/>
    <x v="6"/>
    <x v="0"/>
    <n v="1"/>
    <n v="320.14"/>
    <n v="0.15"/>
    <n v="272.12"/>
    <n v="200"/>
    <n v="72.12"/>
    <s v="Bank Transfer"/>
    <x v="1"/>
  </r>
  <r>
    <x v="719"/>
    <x v="124"/>
    <s v="Casey Young"/>
    <x v="0"/>
    <s v="Europe"/>
    <x v="5"/>
    <x v="1"/>
    <n v="5"/>
    <n v="79"/>
    <n v="0.05"/>
    <n v="375.25"/>
    <n v="200"/>
    <n v="175.25"/>
    <s v="Credit Card"/>
    <x v="1"/>
  </r>
  <r>
    <x v="720"/>
    <x v="83"/>
    <s v="Cameron Martin"/>
    <x v="2"/>
    <s v="Africa"/>
    <x v="2"/>
    <x v="1"/>
    <n v="1"/>
    <n v="126.73"/>
    <n v="0"/>
    <n v="126.73"/>
    <n v="60"/>
    <n v="66.73"/>
    <s v="Debit Card"/>
    <x v="1"/>
  </r>
  <r>
    <x v="721"/>
    <x v="72"/>
    <s v="Cameron Johnson"/>
    <x v="6"/>
    <s v="North America"/>
    <x v="2"/>
    <x v="1"/>
    <n v="1"/>
    <n v="126.81"/>
    <n v="0.2"/>
    <n v="101.45"/>
    <n v="60"/>
    <n v="41.45"/>
    <s v="Credit Card"/>
    <x v="1"/>
  </r>
  <r>
    <x v="722"/>
    <x v="317"/>
    <s v="Casey Martin"/>
    <x v="3"/>
    <s v="Oceania"/>
    <x v="5"/>
    <x v="1"/>
    <n v="4"/>
    <n v="74.23"/>
    <n v="0"/>
    <n v="296.92"/>
    <n v="160"/>
    <n v="136.91999999999999"/>
    <s v="Credit Card"/>
    <x v="2"/>
  </r>
  <r>
    <x v="723"/>
    <x v="55"/>
    <s v="Jamie Taylor"/>
    <x v="5"/>
    <s v="Europe"/>
    <x v="4"/>
    <x v="1"/>
    <n v="2"/>
    <n v="230.21"/>
    <n v="0.05"/>
    <n v="437.4"/>
    <n v="300"/>
    <n v="137.4"/>
    <s v="Debit Card"/>
    <x v="0"/>
  </r>
  <r>
    <x v="724"/>
    <x v="136"/>
    <s v="Olivia Martin"/>
    <x v="6"/>
    <s v="North America"/>
    <x v="6"/>
    <x v="0"/>
    <n v="4"/>
    <n v="325.24"/>
    <n v="0"/>
    <n v="1300.96"/>
    <n v="800"/>
    <n v="500.96"/>
    <s v="Bank Transfer"/>
    <x v="2"/>
  </r>
  <r>
    <x v="725"/>
    <x v="321"/>
    <s v="Noah Lewis"/>
    <x v="3"/>
    <s v="Oceania"/>
    <x v="7"/>
    <x v="1"/>
    <n v="2"/>
    <n v="404.11"/>
    <n v="0"/>
    <n v="808.22"/>
    <n v="560"/>
    <n v="248.22"/>
    <s v="PayPal"/>
    <x v="1"/>
  </r>
  <r>
    <x v="726"/>
    <x v="44"/>
    <s v="Emma Moore"/>
    <x v="5"/>
    <s v="Europe"/>
    <x v="4"/>
    <x v="1"/>
    <n v="1"/>
    <n v="255.52"/>
    <n v="0.05"/>
    <n v="242.74"/>
    <n v="150"/>
    <n v="92.74"/>
    <s v="Credit Card"/>
    <x v="2"/>
  </r>
  <r>
    <x v="727"/>
    <x v="36"/>
    <s v="Riley Martin"/>
    <x v="4"/>
    <s v="Africa"/>
    <x v="2"/>
    <x v="1"/>
    <n v="4"/>
    <n v="114.13"/>
    <n v="0"/>
    <n v="456.52"/>
    <n v="240"/>
    <n v="216.52"/>
    <s v="Debit Card"/>
    <x v="1"/>
  </r>
  <r>
    <x v="728"/>
    <x v="322"/>
    <s v="Alex Young"/>
    <x v="4"/>
    <s v="Africa"/>
    <x v="4"/>
    <x v="1"/>
    <n v="3"/>
    <n v="255.39"/>
    <n v="0"/>
    <n v="766.17"/>
    <n v="450"/>
    <n v="316.17"/>
    <s v="PayPal"/>
    <x v="1"/>
  </r>
  <r>
    <x v="729"/>
    <x v="323"/>
    <s v="Casey Taylor"/>
    <x v="0"/>
    <s v="Europe"/>
    <x v="1"/>
    <x v="0"/>
    <n v="1"/>
    <n v="201"/>
    <n v="0.05"/>
    <n v="190.95"/>
    <n v="110"/>
    <n v="80.95"/>
    <s v="Bank Transfer"/>
    <x v="1"/>
  </r>
  <r>
    <x v="730"/>
    <x v="142"/>
    <s v="Liam Walker"/>
    <x v="3"/>
    <s v="Oceania"/>
    <x v="3"/>
    <x v="1"/>
    <n v="2"/>
    <n v="876.76"/>
    <n v="0"/>
    <n v="1753.52"/>
    <n v="1200"/>
    <n v="553.52"/>
    <s v="PayPal"/>
    <x v="1"/>
  </r>
  <r>
    <x v="731"/>
    <x v="289"/>
    <s v="Ethan Clark"/>
    <x v="2"/>
    <s v="Africa"/>
    <x v="7"/>
    <x v="1"/>
    <n v="5"/>
    <n v="423.63"/>
    <n v="0.1"/>
    <n v="1906.34"/>
    <n v="1400"/>
    <n v="506.34"/>
    <s v="Bank Transfer"/>
    <x v="2"/>
  </r>
  <r>
    <x v="732"/>
    <x v="106"/>
    <s v="Jamie Martin"/>
    <x v="3"/>
    <s v="Oceania"/>
    <x v="6"/>
    <x v="0"/>
    <n v="1"/>
    <n v="322.92"/>
    <n v="0.15"/>
    <n v="274.48"/>
    <n v="200"/>
    <n v="74.48"/>
    <s v="Debit Card"/>
    <x v="2"/>
  </r>
  <r>
    <x v="733"/>
    <x v="228"/>
    <s v="Cameron Martin"/>
    <x v="5"/>
    <s v="Europe"/>
    <x v="4"/>
    <x v="1"/>
    <n v="2"/>
    <n v="257.01"/>
    <n v="0"/>
    <n v="514.02"/>
    <n v="300"/>
    <n v="214.02"/>
    <s v="Bank Transfer"/>
    <x v="1"/>
  </r>
  <r>
    <x v="734"/>
    <x v="297"/>
    <s v="Taylor Taylor"/>
    <x v="0"/>
    <s v="Europe"/>
    <x v="7"/>
    <x v="1"/>
    <n v="4"/>
    <n v="449.92"/>
    <n v="0.15"/>
    <n v="1529.73"/>
    <n v="1120"/>
    <n v="409.73"/>
    <s v="Debit Card"/>
    <x v="1"/>
  </r>
  <r>
    <x v="735"/>
    <x v="324"/>
    <s v="Cameron Davis"/>
    <x v="3"/>
    <s v="Oceania"/>
    <x v="1"/>
    <x v="0"/>
    <n v="3"/>
    <n v="191.12"/>
    <n v="0.1"/>
    <n v="516.02"/>
    <n v="330"/>
    <n v="186.02"/>
    <s v="PayPal"/>
    <x v="0"/>
  </r>
  <r>
    <x v="736"/>
    <x v="145"/>
    <s v="Ethan Lewis"/>
    <x v="2"/>
    <s v="Africa"/>
    <x v="5"/>
    <x v="1"/>
    <n v="4"/>
    <n v="77.239999999999995"/>
    <n v="0.05"/>
    <n v="293.51"/>
    <n v="160"/>
    <n v="133.51"/>
    <s v="Credit Card"/>
    <x v="1"/>
  </r>
  <r>
    <x v="737"/>
    <x v="32"/>
    <s v="Noah Walker"/>
    <x v="1"/>
    <s v="Asia"/>
    <x v="1"/>
    <x v="0"/>
    <n v="1"/>
    <n v="205.1"/>
    <n v="0.05"/>
    <n v="194.84"/>
    <n v="110"/>
    <n v="84.84"/>
    <s v="Credit Card"/>
    <x v="1"/>
  </r>
  <r>
    <x v="738"/>
    <x v="299"/>
    <s v="Sophia Johnson"/>
    <x v="3"/>
    <s v="Oceania"/>
    <x v="7"/>
    <x v="1"/>
    <n v="5"/>
    <n v="404.66"/>
    <n v="0"/>
    <n v="2023.3"/>
    <n v="1400"/>
    <n v="623.29999999999995"/>
    <s v="Credit Card"/>
    <x v="0"/>
  </r>
  <r>
    <x v="739"/>
    <x v="213"/>
    <s v="Liam Smith"/>
    <x v="5"/>
    <s v="Europe"/>
    <x v="1"/>
    <x v="0"/>
    <n v="1"/>
    <n v="200.02"/>
    <n v="0"/>
    <n v="200.02"/>
    <n v="110"/>
    <n v="90.02"/>
    <s v="Credit Card"/>
    <x v="2"/>
  </r>
  <r>
    <x v="740"/>
    <x v="265"/>
    <s v="Jamie Anderson"/>
    <x v="3"/>
    <s v="Oceania"/>
    <x v="0"/>
    <x v="0"/>
    <n v="4"/>
    <n v="295.11"/>
    <n v="0"/>
    <n v="1180.44"/>
    <n v="680"/>
    <n v="500.44"/>
    <s v="Bank Transfer"/>
    <x v="1"/>
  </r>
  <r>
    <x v="741"/>
    <x v="216"/>
    <s v="Chris Johnson"/>
    <x v="3"/>
    <s v="Oceania"/>
    <x v="2"/>
    <x v="1"/>
    <n v="1"/>
    <n v="126.88"/>
    <n v="0.15"/>
    <n v="107.85"/>
    <n v="60"/>
    <n v="47.85"/>
    <s v="Credit Card"/>
    <x v="0"/>
  </r>
  <r>
    <x v="742"/>
    <x v="143"/>
    <s v="Jordan Thomas"/>
    <x v="4"/>
    <s v="Africa"/>
    <x v="3"/>
    <x v="1"/>
    <n v="5"/>
    <n v="870.2"/>
    <n v="0"/>
    <n v="4351"/>
    <n v="3000"/>
    <n v="1351"/>
    <s v="PayPal"/>
    <x v="1"/>
  </r>
  <r>
    <x v="743"/>
    <x v="325"/>
    <s v="Jordan Thomas"/>
    <x v="4"/>
    <s v="Africa"/>
    <x v="2"/>
    <x v="1"/>
    <n v="6"/>
    <n v="116.23"/>
    <n v="0"/>
    <n v="697.38"/>
    <n v="360"/>
    <n v="337.38"/>
    <s v="Debit Card"/>
    <x v="0"/>
  </r>
  <r>
    <x v="744"/>
    <x v="98"/>
    <s v="Daniel Young"/>
    <x v="4"/>
    <s v="Africa"/>
    <x v="0"/>
    <x v="0"/>
    <n v="2"/>
    <n v="293.54000000000002"/>
    <n v="0.15"/>
    <n v="499.02"/>
    <n v="340"/>
    <n v="159.02000000000001"/>
    <s v="Bank Transfer"/>
    <x v="2"/>
  </r>
  <r>
    <x v="745"/>
    <x v="114"/>
    <s v="Alex Smith"/>
    <x v="7"/>
    <s v="North America"/>
    <x v="3"/>
    <x v="1"/>
    <n v="4"/>
    <n v="824.01"/>
    <n v="0.05"/>
    <n v="3131.24"/>
    <n v="2400"/>
    <n v="731.24"/>
    <s v="Credit Card"/>
    <x v="0"/>
  </r>
  <r>
    <x v="746"/>
    <x v="291"/>
    <s v="Avery Walker"/>
    <x v="6"/>
    <s v="North America"/>
    <x v="3"/>
    <x v="1"/>
    <n v="6"/>
    <n v="815.56"/>
    <n v="0.05"/>
    <n v="4648.6899999999996"/>
    <n v="3600"/>
    <n v="1048.69"/>
    <s v="Credit Card"/>
    <x v="1"/>
  </r>
  <r>
    <x v="747"/>
    <x v="81"/>
    <s v="Ethan Davis"/>
    <x v="0"/>
    <s v="Europe"/>
    <x v="4"/>
    <x v="1"/>
    <n v="1"/>
    <n v="255.03"/>
    <n v="0.1"/>
    <n v="229.53"/>
    <n v="150"/>
    <n v="79.53"/>
    <s v="Debit Card"/>
    <x v="1"/>
  </r>
  <r>
    <x v="748"/>
    <x v="253"/>
    <s v="Liam Young"/>
    <x v="4"/>
    <s v="Africa"/>
    <x v="0"/>
    <x v="0"/>
    <n v="1"/>
    <n v="294.05"/>
    <n v="0.15"/>
    <n v="249.94"/>
    <n v="170"/>
    <n v="79.94"/>
    <s v="Debit Card"/>
    <x v="1"/>
  </r>
  <r>
    <x v="749"/>
    <x v="326"/>
    <s v="Casey Taylor"/>
    <x v="4"/>
    <s v="Africa"/>
    <x v="5"/>
    <x v="1"/>
    <n v="2"/>
    <n v="73.53"/>
    <n v="0.1"/>
    <n v="132.35"/>
    <n v="80"/>
    <n v="52.35"/>
    <s v="Credit Card"/>
    <x v="2"/>
  </r>
  <r>
    <x v="750"/>
    <x v="267"/>
    <s v="Taylor Martin"/>
    <x v="7"/>
    <s v="North America"/>
    <x v="4"/>
    <x v="1"/>
    <n v="2"/>
    <n v="237.02"/>
    <n v="0"/>
    <n v="474.04"/>
    <n v="300"/>
    <n v="174.04"/>
    <s v="Bank Transfer"/>
    <x v="2"/>
  </r>
  <r>
    <x v="751"/>
    <x v="186"/>
    <s v="Sam Smith"/>
    <x v="3"/>
    <s v="Oceania"/>
    <x v="3"/>
    <x v="1"/>
    <n v="1"/>
    <n v="859.94"/>
    <n v="0"/>
    <n v="859.94"/>
    <n v="600"/>
    <n v="259.94"/>
    <s v="Credit Card"/>
    <x v="1"/>
  </r>
  <r>
    <x v="752"/>
    <x v="143"/>
    <s v="Noah Smith"/>
    <x v="5"/>
    <s v="Europe"/>
    <x v="0"/>
    <x v="0"/>
    <n v="2"/>
    <n v="278.77999999999997"/>
    <n v="0.05"/>
    <n v="529.67999999999995"/>
    <n v="340"/>
    <n v="189.68"/>
    <s v="PayPal"/>
    <x v="1"/>
  </r>
  <r>
    <x v="753"/>
    <x v="205"/>
    <s v="Jordan Davis"/>
    <x v="2"/>
    <s v="Africa"/>
    <x v="3"/>
    <x v="1"/>
    <n v="5"/>
    <n v="874.31"/>
    <n v="0.15"/>
    <n v="3715.82"/>
    <n v="3000"/>
    <n v="715.82"/>
    <s v="Debit Card"/>
    <x v="0"/>
  </r>
  <r>
    <x v="754"/>
    <x v="185"/>
    <s v="Olivia Anderson"/>
    <x v="4"/>
    <s v="Africa"/>
    <x v="2"/>
    <x v="1"/>
    <n v="2"/>
    <n v="121.19"/>
    <n v="0"/>
    <n v="242.38"/>
    <n v="120"/>
    <n v="122.38"/>
    <s v="Credit Card"/>
    <x v="1"/>
  </r>
  <r>
    <x v="755"/>
    <x v="54"/>
    <s v="Cameron Taylor"/>
    <x v="5"/>
    <s v="Europe"/>
    <x v="3"/>
    <x v="1"/>
    <n v="3"/>
    <n v="838.23"/>
    <n v="0"/>
    <n v="2514.69"/>
    <n v="1800"/>
    <n v="714.69"/>
    <s v="Debit Card"/>
    <x v="2"/>
  </r>
  <r>
    <x v="756"/>
    <x v="61"/>
    <s v="Avery Smith"/>
    <x v="6"/>
    <s v="North America"/>
    <x v="5"/>
    <x v="1"/>
    <n v="3"/>
    <n v="76.02"/>
    <n v="0"/>
    <n v="228.06"/>
    <n v="120"/>
    <n v="108.06"/>
    <s v="Bank Transfer"/>
    <x v="0"/>
  </r>
  <r>
    <x v="757"/>
    <x v="241"/>
    <s v="Avery Hall"/>
    <x v="7"/>
    <s v="North America"/>
    <x v="4"/>
    <x v="1"/>
    <n v="1"/>
    <n v="234.18"/>
    <n v="0.1"/>
    <n v="210.76"/>
    <n v="150"/>
    <n v="60.76"/>
    <s v="Bank Transfer"/>
    <x v="1"/>
  </r>
  <r>
    <x v="758"/>
    <x v="327"/>
    <s v="Liam Thomas"/>
    <x v="3"/>
    <s v="Oceania"/>
    <x v="0"/>
    <x v="0"/>
    <n v="1"/>
    <n v="278.88"/>
    <n v="0"/>
    <n v="278.88"/>
    <n v="170"/>
    <n v="108.88"/>
    <s v="PayPal"/>
    <x v="0"/>
  </r>
  <r>
    <x v="759"/>
    <x v="114"/>
    <s v="Cameron Lewis"/>
    <x v="5"/>
    <s v="Europe"/>
    <x v="1"/>
    <x v="0"/>
    <n v="1"/>
    <n v="203.09"/>
    <n v="0"/>
    <n v="203.09"/>
    <n v="110"/>
    <n v="93.09"/>
    <s v="Debit Card"/>
    <x v="1"/>
  </r>
  <r>
    <x v="760"/>
    <x v="238"/>
    <s v="Sam Young"/>
    <x v="7"/>
    <s v="North America"/>
    <x v="6"/>
    <x v="0"/>
    <n v="1"/>
    <n v="308.92"/>
    <n v="0"/>
    <n v="308.92"/>
    <n v="200"/>
    <n v="108.92"/>
    <s v="PayPal"/>
    <x v="2"/>
  </r>
  <r>
    <x v="761"/>
    <x v="92"/>
    <s v="Ethan Clark"/>
    <x v="5"/>
    <s v="Europe"/>
    <x v="5"/>
    <x v="1"/>
    <n v="3"/>
    <n v="73.209999999999994"/>
    <n v="0.05"/>
    <n v="208.65"/>
    <n v="120"/>
    <n v="88.65"/>
    <s v="Credit Card"/>
    <x v="1"/>
  </r>
  <r>
    <x v="762"/>
    <x v="231"/>
    <s v="Sophia Clark"/>
    <x v="0"/>
    <s v="Europe"/>
    <x v="5"/>
    <x v="1"/>
    <n v="3"/>
    <n v="79.53"/>
    <n v="0"/>
    <n v="238.59"/>
    <n v="120"/>
    <n v="118.59"/>
    <s v="Debit Card"/>
    <x v="0"/>
  </r>
  <r>
    <x v="763"/>
    <x v="220"/>
    <s v="Drew Brown"/>
    <x v="4"/>
    <s v="Africa"/>
    <x v="2"/>
    <x v="1"/>
    <n v="4"/>
    <n v="121.99"/>
    <n v="0"/>
    <n v="487.96"/>
    <n v="240"/>
    <n v="247.96"/>
    <s v="PayPal"/>
    <x v="1"/>
  </r>
  <r>
    <x v="764"/>
    <x v="107"/>
    <s v="Avery Moore"/>
    <x v="0"/>
    <s v="Europe"/>
    <x v="2"/>
    <x v="1"/>
    <n v="1"/>
    <n v="116.92"/>
    <n v="0"/>
    <n v="116.92"/>
    <n v="60"/>
    <n v="56.92"/>
    <s v="Bank Transfer"/>
    <x v="2"/>
  </r>
  <r>
    <x v="765"/>
    <x v="165"/>
    <s v="Mia Wilson"/>
    <x v="1"/>
    <s v="Asia"/>
    <x v="6"/>
    <x v="0"/>
    <n v="2"/>
    <n v="309.42"/>
    <n v="0.15"/>
    <n v="526.01"/>
    <n v="400"/>
    <n v="126.01"/>
    <s v="Credit Card"/>
    <x v="1"/>
  </r>
  <r>
    <x v="766"/>
    <x v="23"/>
    <s v="Riley Brown"/>
    <x v="6"/>
    <s v="North America"/>
    <x v="2"/>
    <x v="1"/>
    <n v="3"/>
    <n v="118.72"/>
    <n v="0.05"/>
    <n v="338.35"/>
    <n v="180"/>
    <n v="158.35"/>
    <s v="Credit Card"/>
    <x v="1"/>
  </r>
  <r>
    <x v="767"/>
    <x v="85"/>
    <s v="Mia Johnson"/>
    <x v="7"/>
    <s v="North America"/>
    <x v="6"/>
    <x v="0"/>
    <n v="2"/>
    <n v="315.97000000000003"/>
    <n v="0.05"/>
    <n v="600.34"/>
    <n v="400"/>
    <n v="200.34"/>
    <s v="Credit Card"/>
    <x v="2"/>
  </r>
  <r>
    <x v="768"/>
    <x v="268"/>
    <s v="Noah Taylor"/>
    <x v="1"/>
    <s v="Asia"/>
    <x v="4"/>
    <x v="1"/>
    <n v="1"/>
    <n v="235.52"/>
    <n v="0"/>
    <n v="235.52"/>
    <n v="150"/>
    <n v="85.52"/>
    <s v="Credit Card"/>
    <x v="1"/>
  </r>
  <r>
    <x v="769"/>
    <x v="182"/>
    <s v="Emma Clark"/>
    <x v="1"/>
    <s v="Asia"/>
    <x v="0"/>
    <x v="0"/>
    <n v="1"/>
    <n v="296.99"/>
    <n v="0"/>
    <n v="296.99"/>
    <n v="170"/>
    <n v="126.99"/>
    <s v="Bank Transfer"/>
    <x v="1"/>
  </r>
  <r>
    <x v="770"/>
    <x v="4"/>
    <s v="Jordan Clark"/>
    <x v="0"/>
    <s v="Europe"/>
    <x v="5"/>
    <x v="1"/>
    <n v="1"/>
    <n v="78.11"/>
    <n v="0"/>
    <n v="78.11"/>
    <n v="40"/>
    <n v="38.11"/>
    <s v="Bank Transfer"/>
    <x v="1"/>
  </r>
  <r>
    <x v="771"/>
    <x v="209"/>
    <s v="Riley Martin"/>
    <x v="7"/>
    <s v="North America"/>
    <x v="5"/>
    <x v="1"/>
    <n v="2"/>
    <n v="78.94"/>
    <n v="0"/>
    <n v="157.88"/>
    <n v="80"/>
    <n v="77.88"/>
    <s v="PayPal"/>
    <x v="2"/>
  </r>
  <r>
    <x v="772"/>
    <x v="1"/>
    <s v="Emma Martin"/>
    <x v="4"/>
    <s v="Africa"/>
    <x v="3"/>
    <x v="1"/>
    <n v="4"/>
    <n v="848"/>
    <n v="0"/>
    <n v="3392"/>
    <n v="2400"/>
    <n v="992"/>
    <s v="Credit Card"/>
    <x v="2"/>
  </r>
  <r>
    <x v="773"/>
    <x v="200"/>
    <s v="Ethan Taylor"/>
    <x v="1"/>
    <s v="Asia"/>
    <x v="5"/>
    <x v="1"/>
    <n v="4"/>
    <n v="71.709999999999994"/>
    <n v="0"/>
    <n v="286.83999999999997"/>
    <n v="160"/>
    <n v="126.84"/>
    <s v="PayPal"/>
    <x v="2"/>
  </r>
  <r>
    <x v="774"/>
    <x v="22"/>
    <s v="Emma Martin"/>
    <x v="6"/>
    <s v="North America"/>
    <x v="4"/>
    <x v="1"/>
    <n v="2"/>
    <n v="243.64"/>
    <n v="0"/>
    <n v="487.28"/>
    <n v="300"/>
    <n v="187.28"/>
    <s v="PayPal"/>
    <x v="1"/>
  </r>
  <r>
    <x v="775"/>
    <x v="65"/>
    <s v="Drew Brown"/>
    <x v="5"/>
    <s v="Europe"/>
    <x v="4"/>
    <x v="1"/>
    <n v="5"/>
    <n v="230.96"/>
    <n v="0.15"/>
    <n v="981.58"/>
    <n v="750"/>
    <n v="231.58"/>
    <s v="Bank Transfer"/>
    <x v="2"/>
  </r>
  <r>
    <x v="776"/>
    <x v="88"/>
    <s v="Sophia Anderson"/>
    <x v="6"/>
    <s v="North America"/>
    <x v="1"/>
    <x v="0"/>
    <n v="1"/>
    <n v="182.76"/>
    <n v="0"/>
    <n v="182.76"/>
    <n v="110"/>
    <n v="72.760000000000005"/>
    <s v="Credit Card"/>
    <x v="1"/>
  </r>
  <r>
    <x v="777"/>
    <x v="24"/>
    <s v="Emma Hall"/>
    <x v="7"/>
    <s v="North America"/>
    <x v="4"/>
    <x v="1"/>
    <n v="2"/>
    <n v="256.63"/>
    <n v="0"/>
    <n v="513.26"/>
    <n v="300"/>
    <n v="213.26"/>
    <s v="Credit Card"/>
    <x v="1"/>
  </r>
  <r>
    <x v="778"/>
    <x v="151"/>
    <s v="Chris Taylor"/>
    <x v="2"/>
    <s v="Africa"/>
    <x v="2"/>
    <x v="1"/>
    <n v="1"/>
    <n v="128.09"/>
    <n v="0.05"/>
    <n v="121.69"/>
    <n v="60"/>
    <n v="61.69"/>
    <s v="PayPal"/>
    <x v="1"/>
  </r>
  <r>
    <x v="779"/>
    <x v="222"/>
    <s v="Drew Johnson"/>
    <x v="5"/>
    <s v="Europe"/>
    <x v="6"/>
    <x v="0"/>
    <n v="3"/>
    <n v="327.88"/>
    <n v="0.05"/>
    <n v="934.46"/>
    <n v="600"/>
    <n v="334.46"/>
    <s v="PayPal"/>
    <x v="2"/>
  </r>
  <r>
    <x v="780"/>
    <x v="191"/>
    <s v="Sophia Clark"/>
    <x v="0"/>
    <s v="Europe"/>
    <x v="3"/>
    <x v="1"/>
    <n v="4"/>
    <n v="898.87"/>
    <n v="0"/>
    <n v="3595.48"/>
    <n v="2400"/>
    <n v="1195.48"/>
    <s v="Credit Card"/>
    <x v="1"/>
  </r>
  <r>
    <x v="781"/>
    <x v="328"/>
    <s v="Cameron Thomas"/>
    <x v="1"/>
    <s v="Asia"/>
    <x v="0"/>
    <x v="0"/>
    <n v="1"/>
    <n v="264.29000000000002"/>
    <n v="0.05"/>
    <n v="251.08"/>
    <n v="170"/>
    <n v="81.08"/>
    <s v="Bank Transfer"/>
    <x v="0"/>
  </r>
  <r>
    <x v="782"/>
    <x v="6"/>
    <s v="Jordan Hall"/>
    <x v="0"/>
    <s v="Europe"/>
    <x v="7"/>
    <x v="1"/>
    <n v="5"/>
    <n v="403.55"/>
    <n v="0"/>
    <n v="2017.75"/>
    <n v="1400"/>
    <n v="617.75"/>
    <s v="Credit Card"/>
    <x v="2"/>
  </r>
  <r>
    <x v="783"/>
    <x v="80"/>
    <s v="Riley Johnson"/>
    <x v="5"/>
    <s v="Europe"/>
    <x v="2"/>
    <x v="1"/>
    <n v="4"/>
    <n v="120.91"/>
    <n v="0"/>
    <n v="483.64"/>
    <n v="240"/>
    <n v="243.64"/>
    <s v="Debit Card"/>
    <x v="0"/>
  </r>
  <r>
    <x v="784"/>
    <x v="106"/>
    <s v="Alex Lewis"/>
    <x v="6"/>
    <s v="North America"/>
    <x v="4"/>
    <x v="1"/>
    <n v="2"/>
    <n v="237.87"/>
    <n v="0.1"/>
    <n v="428.17"/>
    <n v="300"/>
    <n v="128.16999999999999"/>
    <s v="Credit Card"/>
    <x v="2"/>
  </r>
  <r>
    <x v="785"/>
    <x v="49"/>
    <s v="Alex Davis"/>
    <x v="4"/>
    <s v="Africa"/>
    <x v="0"/>
    <x v="0"/>
    <n v="1"/>
    <n v="279.45999999999998"/>
    <n v="0.05"/>
    <n v="265.49"/>
    <n v="170"/>
    <n v="95.49"/>
    <s v="Credit Card"/>
    <x v="1"/>
  </r>
  <r>
    <x v="786"/>
    <x v="306"/>
    <s v="Olivia Smith"/>
    <x v="6"/>
    <s v="North America"/>
    <x v="3"/>
    <x v="1"/>
    <n v="2"/>
    <n v="903.8"/>
    <n v="0.05"/>
    <n v="1717.22"/>
    <n v="1200"/>
    <n v="517.22"/>
    <s v="PayPal"/>
    <x v="1"/>
  </r>
  <r>
    <x v="787"/>
    <x v="132"/>
    <s v="Morgan Walker"/>
    <x v="3"/>
    <s v="Oceania"/>
    <x v="0"/>
    <x v="0"/>
    <n v="1"/>
    <n v="267.26"/>
    <n v="0.1"/>
    <n v="240.53"/>
    <n v="170"/>
    <n v="70.53"/>
    <s v="Credit Card"/>
    <x v="1"/>
  </r>
  <r>
    <x v="788"/>
    <x v="329"/>
    <s v="Avery Taylor"/>
    <x v="0"/>
    <s v="Europe"/>
    <x v="4"/>
    <x v="1"/>
    <n v="3"/>
    <n v="253.75"/>
    <n v="0.1"/>
    <n v="685.12"/>
    <n v="450"/>
    <n v="235.12"/>
    <s v="Debit Card"/>
    <x v="2"/>
  </r>
  <r>
    <x v="789"/>
    <x v="262"/>
    <s v="Avery Martin"/>
    <x v="4"/>
    <s v="Africa"/>
    <x v="1"/>
    <x v="0"/>
    <n v="1"/>
    <n v="181.43"/>
    <n v="0.05"/>
    <n v="172.36"/>
    <n v="110"/>
    <n v="62.36"/>
    <s v="Debit Card"/>
    <x v="1"/>
  </r>
  <r>
    <x v="790"/>
    <x v="47"/>
    <s v="Chris Smith"/>
    <x v="7"/>
    <s v="North America"/>
    <x v="0"/>
    <x v="0"/>
    <n v="2"/>
    <n v="291.58"/>
    <n v="0"/>
    <n v="583.16"/>
    <n v="340"/>
    <n v="243.16"/>
    <s v="Debit Card"/>
    <x v="2"/>
  </r>
  <r>
    <x v="791"/>
    <x v="44"/>
    <s v="Daniel Martin"/>
    <x v="0"/>
    <s v="Europe"/>
    <x v="5"/>
    <x v="1"/>
    <n v="2"/>
    <n v="76.16"/>
    <n v="0"/>
    <n v="152.32"/>
    <n v="80"/>
    <n v="72.319999999999993"/>
    <s v="Bank Transfer"/>
    <x v="1"/>
  </r>
  <r>
    <x v="792"/>
    <x v="140"/>
    <s v="Casey Martin"/>
    <x v="1"/>
    <s v="Asia"/>
    <x v="6"/>
    <x v="0"/>
    <n v="1"/>
    <n v="340.07"/>
    <n v="0"/>
    <n v="340.07"/>
    <n v="200"/>
    <n v="140.07"/>
    <s v="PayPal"/>
    <x v="2"/>
  </r>
  <r>
    <x v="793"/>
    <x v="211"/>
    <s v="Taylor Hall"/>
    <x v="5"/>
    <s v="Europe"/>
    <x v="3"/>
    <x v="1"/>
    <n v="3"/>
    <n v="888.48"/>
    <n v="0.15"/>
    <n v="2265.62"/>
    <n v="1800"/>
    <n v="465.62"/>
    <s v="Bank Transfer"/>
    <x v="1"/>
  </r>
  <r>
    <x v="794"/>
    <x v="169"/>
    <s v="Drew Lewis"/>
    <x v="2"/>
    <s v="Africa"/>
    <x v="1"/>
    <x v="0"/>
    <n v="2"/>
    <n v="197.63"/>
    <n v="0.1"/>
    <n v="355.73"/>
    <n v="220"/>
    <n v="135.72999999999999"/>
    <s v="Credit Card"/>
    <x v="1"/>
  </r>
  <r>
    <x v="795"/>
    <x v="20"/>
    <s v="Ethan Davis"/>
    <x v="1"/>
    <s v="Asia"/>
    <x v="4"/>
    <x v="1"/>
    <n v="5"/>
    <n v="245.12"/>
    <n v="0"/>
    <n v="1225.5999999999999"/>
    <n v="750"/>
    <n v="475.6"/>
    <s v="PayPal"/>
    <x v="2"/>
  </r>
  <r>
    <x v="796"/>
    <x v="153"/>
    <s v="Chris Anderson"/>
    <x v="2"/>
    <s v="Africa"/>
    <x v="0"/>
    <x v="0"/>
    <n v="2"/>
    <n v="268.7"/>
    <n v="0.1"/>
    <n v="483.66"/>
    <n v="340"/>
    <n v="143.66"/>
    <s v="Debit Card"/>
    <x v="1"/>
  </r>
  <r>
    <x v="797"/>
    <x v="254"/>
    <s v="Chris Clark"/>
    <x v="0"/>
    <s v="Europe"/>
    <x v="1"/>
    <x v="0"/>
    <n v="5"/>
    <n v="192.98"/>
    <n v="0.1"/>
    <n v="868.41"/>
    <n v="550"/>
    <n v="318.41000000000003"/>
    <s v="Credit Card"/>
    <x v="1"/>
  </r>
  <r>
    <x v="798"/>
    <x v="238"/>
    <s v="Daniel Taylor"/>
    <x v="6"/>
    <s v="North America"/>
    <x v="6"/>
    <x v="0"/>
    <n v="3"/>
    <n v="341.89"/>
    <n v="0"/>
    <n v="1025.67"/>
    <n v="600"/>
    <n v="425.67"/>
    <s v="Bank Transfer"/>
    <x v="1"/>
  </r>
  <r>
    <x v="799"/>
    <x v="145"/>
    <s v="Cameron Martin"/>
    <x v="0"/>
    <s v="Europe"/>
    <x v="0"/>
    <x v="0"/>
    <n v="4"/>
    <n v="281.01"/>
    <n v="0.05"/>
    <n v="1067.8399999999999"/>
    <n v="680"/>
    <n v="387.84"/>
    <s v="Credit Card"/>
    <x v="1"/>
  </r>
  <r>
    <x v="800"/>
    <x v="285"/>
    <s v="Casey Johnson"/>
    <x v="2"/>
    <s v="Africa"/>
    <x v="1"/>
    <x v="0"/>
    <n v="1"/>
    <n v="185.4"/>
    <n v="0.05"/>
    <n v="176.13"/>
    <n v="110"/>
    <n v="66.13"/>
    <s v="PayPal"/>
    <x v="2"/>
  </r>
  <r>
    <x v="801"/>
    <x v="29"/>
    <s v="Olivia Taylor"/>
    <x v="3"/>
    <s v="Oceania"/>
    <x v="2"/>
    <x v="1"/>
    <n v="3"/>
    <n v="129.55000000000001"/>
    <n v="0.1"/>
    <n v="349.78"/>
    <n v="180"/>
    <n v="169.78"/>
    <s v="Credit Card"/>
    <x v="0"/>
  </r>
  <r>
    <x v="802"/>
    <x v="10"/>
    <s v="Olivia Lewis"/>
    <x v="2"/>
    <s v="Africa"/>
    <x v="3"/>
    <x v="1"/>
    <n v="3"/>
    <n v="883.21"/>
    <n v="0"/>
    <n v="2649.63"/>
    <n v="1800"/>
    <n v="849.63"/>
    <s v="Bank Transfer"/>
    <x v="0"/>
  </r>
  <r>
    <x v="803"/>
    <x v="327"/>
    <s v="Olivia Davis"/>
    <x v="7"/>
    <s v="North America"/>
    <x v="2"/>
    <x v="1"/>
    <n v="4"/>
    <n v="122.39"/>
    <n v="0"/>
    <n v="489.56"/>
    <n v="240"/>
    <n v="249.56"/>
    <s v="Bank Transfer"/>
    <x v="1"/>
  </r>
  <r>
    <x v="804"/>
    <x v="266"/>
    <s v="Casey Smith"/>
    <x v="2"/>
    <s v="Africa"/>
    <x v="6"/>
    <x v="0"/>
    <n v="6"/>
    <n v="347.82"/>
    <n v="0.1"/>
    <n v="1878.23"/>
    <n v="1200"/>
    <n v="678.23"/>
    <s v="Credit Card"/>
    <x v="1"/>
  </r>
  <r>
    <x v="805"/>
    <x v="79"/>
    <s v="Emma Taylor"/>
    <x v="1"/>
    <s v="Asia"/>
    <x v="2"/>
    <x v="1"/>
    <n v="3"/>
    <n v="120.33"/>
    <n v="0"/>
    <n v="360.99"/>
    <n v="180"/>
    <n v="180.99"/>
    <s v="Credit Card"/>
    <x v="1"/>
  </r>
  <r>
    <x v="806"/>
    <x v="280"/>
    <s v="Drew Anderson"/>
    <x v="1"/>
    <s v="Asia"/>
    <x v="2"/>
    <x v="1"/>
    <n v="2"/>
    <n v="123.42"/>
    <n v="0.1"/>
    <n v="222.16"/>
    <n v="120"/>
    <n v="102.16"/>
    <s v="Debit Card"/>
    <x v="1"/>
  </r>
  <r>
    <x v="807"/>
    <x v="132"/>
    <s v="Drew Smith"/>
    <x v="4"/>
    <s v="Africa"/>
    <x v="0"/>
    <x v="0"/>
    <n v="5"/>
    <n v="266.44"/>
    <n v="0"/>
    <n v="1332.2"/>
    <n v="850"/>
    <n v="482.2"/>
    <s v="PayPal"/>
    <x v="2"/>
  </r>
  <r>
    <x v="808"/>
    <x v="269"/>
    <s v="Mia Anderson"/>
    <x v="5"/>
    <s v="Europe"/>
    <x v="3"/>
    <x v="1"/>
    <n v="1"/>
    <n v="892.75"/>
    <n v="0.1"/>
    <n v="803.48"/>
    <n v="600"/>
    <n v="203.48"/>
    <s v="Credit Card"/>
    <x v="0"/>
  </r>
  <r>
    <x v="809"/>
    <x v="185"/>
    <s v="Mia Young"/>
    <x v="1"/>
    <s v="Asia"/>
    <x v="3"/>
    <x v="1"/>
    <n v="4"/>
    <n v="863.69"/>
    <n v="0.1"/>
    <n v="3109.28"/>
    <n v="2400"/>
    <n v="709.28"/>
    <s v="Bank Transfer"/>
    <x v="0"/>
  </r>
  <r>
    <x v="810"/>
    <x v="217"/>
    <s v="Avery Walker"/>
    <x v="7"/>
    <s v="North America"/>
    <x v="4"/>
    <x v="1"/>
    <n v="3"/>
    <n v="257.95"/>
    <n v="0.05"/>
    <n v="735.16"/>
    <n v="450"/>
    <n v="285.16000000000003"/>
    <s v="PayPal"/>
    <x v="2"/>
  </r>
  <r>
    <x v="811"/>
    <x v="330"/>
    <s v="Sam Thomas"/>
    <x v="5"/>
    <s v="Europe"/>
    <x v="4"/>
    <x v="1"/>
    <n v="2"/>
    <n v="245.3"/>
    <n v="0.1"/>
    <n v="441.54"/>
    <n v="300"/>
    <n v="141.54"/>
    <s v="Credit Card"/>
    <x v="1"/>
  </r>
  <r>
    <x v="812"/>
    <x v="0"/>
    <s v="Morgan Martin"/>
    <x v="5"/>
    <s v="Europe"/>
    <x v="6"/>
    <x v="0"/>
    <n v="2"/>
    <n v="338.94"/>
    <n v="0"/>
    <n v="677.88"/>
    <n v="400"/>
    <n v="277.88"/>
    <s v="PayPal"/>
    <x v="2"/>
  </r>
  <r>
    <x v="813"/>
    <x v="68"/>
    <s v="Sophia Taylor"/>
    <x v="0"/>
    <s v="Europe"/>
    <x v="6"/>
    <x v="0"/>
    <n v="2"/>
    <n v="332.37"/>
    <n v="0"/>
    <n v="664.74"/>
    <n v="400"/>
    <n v="264.74"/>
    <s v="Credit Card"/>
    <x v="1"/>
  </r>
  <r>
    <x v="814"/>
    <x v="329"/>
    <s v="Olivia Anderson"/>
    <x v="4"/>
    <s v="Africa"/>
    <x v="5"/>
    <x v="1"/>
    <n v="2"/>
    <n v="71.5"/>
    <n v="0"/>
    <n v="143"/>
    <n v="80"/>
    <n v="63"/>
    <s v="Credit Card"/>
    <x v="1"/>
  </r>
  <r>
    <x v="815"/>
    <x v="81"/>
    <s v="Morgan Davis"/>
    <x v="6"/>
    <s v="North America"/>
    <x v="6"/>
    <x v="0"/>
    <n v="3"/>
    <n v="337.33"/>
    <n v="0"/>
    <n v="1011.99"/>
    <n v="600"/>
    <n v="411.99"/>
    <s v="Bank Transfer"/>
    <x v="1"/>
  </r>
  <r>
    <x v="816"/>
    <x v="178"/>
    <s v="Noah Thomas"/>
    <x v="4"/>
    <s v="Africa"/>
    <x v="4"/>
    <x v="1"/>
    <n v="2"/>
    <n v="228.18"/>
    <n v="0.05"/>
    <n v="433.54"/>
    <n v="300"/>
    <n v="133.54"/>
    <s v="PayPal"/>
    <x v="1"/>
  </r>
  <r>
    <x v="817"/>
    <x v="331"/>
    <s v="Taylor Moore"/>
    <x v="2"/>
    <s v="Africa"/>
    <x v="1"/>
    <x v="0"/>
    <n v="1"/>
    <n v="203.36"/>
    <n v="0"/>
    <n v="203.36"/>
    <n v="110"/>
    <n v="93.36"/>
    <s v="Bank Transfer"/>
    <x v="0"/>
  </r>
  <r>
    <x v="818"/>
    <x v="169"/>
    <s v="Alex Wilson"/>
    <x v="0"/>
    <s v="Europe"/>
    <x v="7"/>
    <x v="1"/>
    <n v="3"/>
    <n v="424.7"/>
    <n v="0"/>
    <n v="1274.0999999999999"/>
    <n v="840"/>
    <n v="434.1"/>
    <s v="Credit Card"/>
    <x v="2"/>
  </r>
  <r>
    <x v="819"/>
    <x v="134"/>
    <s v="Liam Young"/>
    <x v="1"/>
    <s v="Asia"/>
    <x v="2"/>
    <x v="1"/>
    <n v="2"/>
    <n v="125.68"/>
    <n v="0.1"/>
    <n v="226.22"/>
    <n v="120"/>
    <n v="106.22"/>
    <s v="Credit Card"/>
    <x v="1"/>
  </r>
  <r>
    <x v="820"/>
    <x v="102"/>
    <s v="Jordan Martin"/>
    <x v="6"/>
    <s v="North America"/>
    <x v="0"/>
    <x v="0"/>
    <n v="3"/>
    <n v="290.10000000000002"/>
    <n v="0"/>
    <n v="870.3"/>
    <n v="510"/>
    <n v="360.3"/>
    <s v="Credit Card"/>
    <x v="0"/>
  </r>
  <r>
    <x v="821"/>
    <x v="76"/>
    <s v="Mia Wilson"/>
    <x v="1"/>
    <s v="Asia"/>
    <x v="5"/>
    <x v="1"/>
    <n v="2"/>
    <n v="78.7"/>
    <n v="0.1"/>
    <n v="141.66"/>
    <n v="80"/>
    <n v="61.66"/>
    <s v="Credit Card"/>
    <x v="1"/>
  </r>
  <r>
    <x v="822"/>
    <x v="276"/>
    <s v="Liam Taylor"/>
    <x v="6"/>
    <s v="North America"/>
    <x v="1"/>
    <x v="0"/>
    <n v="3"/>
    <n v="185.46"/>
    <n v="0"/>
    <n v="556.38"/>
    <n v="330"/>
    <n v="226.38"/>
    <s v="Debit Card"/>
    <x v="1"/>
  </r>
  <r>
    <x v="823"/>
    <x v="261"/>
    <s v="Chris Martin"/>
    <x v="6"/>
    <s v="North America"/>
    <x v="5"/>
    <x v="1"/>
    <n v="6"/>
    <n v="71.94"/>
    <n v="0"/>
    <n v="431.64"/>
    <n v="240"/>
    <n v="191.64"/>
    <s v="Bank Transfer"/>
    <x v="1"/>
  </r>
  <r>
    <x v="824"/>
    <x v="320"/>
    <s v="Cameron Young"/>
    <x v="0"/>
    <s v="Europe"/>
    <x v="4"/>
    <x v="1"/>
    <n v="3"/>
    <n v="247.95"/>
    <n v="0.05"/>
    <n v="706.66"/>
    <n v="450"/>
    <n v="256.66000000000003"/>
    <s v="Debit Card"/>
    <x v="1"/>
  </r>
  <r>
    <x v="825"/>
    <x v="8"/>
    <s v="Sam Young"/>
    <x v="7"/>
    <s v="North America"/>
    <x v="6"/>
    <x v="0"/>
    <n v="1"/>
    <n v="338.22"/>
    <n v="0.05"/>
    <n v="321.31"/>
    <n v="200"/>
    <n v="121.31"/>
    <s v="Credit Card"/>
    <x v="2"/>
  </r>
  <r>
    <x v="826"/>
    <x v="95"/>
    <s v="Cameron Thomas"/>
    <x v="6"/>
    <s v="North America"/>
    <x v="7"/>
    <x v="1"/>
    <n v="2"/>
    <n v="422.92"/>
    <n v="0"/>
    <n v="845.84"/>
    <n v="560"/>
    <n v="285.83999999999997"/>
    <s v="Debit Card"/>
    <x v="2"/>
  </r>
  <r>
    <x v="827"/>
    <x v="236"/>
    <s v="Jordan Thomas"/>
    <x v="7"/>
    <s v="North America"/>
    <x v="4"/>
    <x v="1"/>
    <n v="2"/>
    <n v="237.24"/>
    <n v="0"/>
    <n v="474.48"/>
    <n v="300"/>
    <n v="174.48"/>
    <s v="Debit Card"/>
    <x v="1"/>
  </r>
  <r>
    <x v="828"/>
    <x v="275"/>
    <s v="Daniel Johnson"/>
    <x v="4"/>
    <s v="Africa"/>
    <x v="4"/>
    <x v="1"/>
    <n v="2"/>
    <n v="257.10000000000002"/>
    <n v="0"/>
    <n v="514.20000000000005"/>
    <n v="300"/>
    <n v="214.2"/>
    <s v="Bank Transfer"/>
    <x v="1"/>
  </r>
  <r>
    <x v="829"/>
    <x v="269"/>
    <s v="Mia Thomas"/>
    <x v="2"/>
    <s v="Africa"/>
    <x v="5"/>
    <x v="1"/>
    <n v="1"/>
    <n v="72.53"/>
    <n v="0"/>
    <n v="72.53"/>
    <n v="40"/>
    <n v="32.53"/>
    <s v="Debit Card"/>
    <x v="0"/>
  </r>
  <r>
    <x v="830"/>
    <x v="51"/>
    <s v="Sam Walker"/>
    <x v="1"/>
    <s v="Asia"/>
    <x v="6"/>
    <x v="0"/>
    <n v="3"/>
    <n v="345.27"/>
    <n v="0"/>
    <n v="1035.81"/>
    <n v="600"/>
    <n v="435.81"/>
    <s v="Bank Transfer"/>
    <x v="1"/>
  </r>
  <r>
    <x v="831"/>
    <x v="80"/>
    <s v="Drew Hall"/>
    <x v="7"/>
    <s v="North America"/>
    <x v="5"/>
    <x v="1"/>
    <n v="3"/>
    <n v="79.040000000000006"/>
    <n v="0"/>
    <n v="237.12"/>
    <n v="120"/>
    <n v="117.12"/>
    <s v="Debit Card"/>
    <x v="1"/>
  </r>
  <r>
    <x v="832"/>
    <x v="33"/>
    <s v="Drew Johnson"/>
    <x v="7"/>
    <s v="North America"/>
    <x v="1"/>
    <x v="0"/>
    <n v="3"/>
    <n v="195.57"/>
    <n v="0"/>
    <n v="586.71"/>
    <n v="330"/>
    <n v="256.70999999999998"/>
    <s v="Credit Card"/>
    <x v="1"/>
  </r>
  <r>
    <x v="833"/>
    <x v="62"/>
    <s v="Daniel Wilson"/>
    <x v="5"/>
    <s v="Europe"/>
    <x v="3"/>
    <x v="1"/>
    <n v="2"/>
    <n v="895.73"/>
    <n v="0.1"/>
    <n v="1612.31"/>
    <n v="1200"/>
    <n v="412.31"/>
    <s v="Credit Card"/>
    <x v="1"/>
  </r>
  <r>
    <x v="834"/>
    <x v="207"/>
    <s v="Sam Anderson"/>
    <x v="0"/>
    <s v="Europe"/>
    <x v="3"/>
    <x v="1"/>
    <n v="1"/>
    <n v="898.52"/>
    <n v="0.1"/>
    <n v="808.67"/>
    <n v="600"/>
    <n v="208.67"/>
    <s v="Debit Card"/>
    <x v="1"/>
  </r>
  <r>
    <x v="835"/>
    <x v="212"/>
    <s v="Avery Brown"/>
    <x v="3"/>
    <s v="Oceania"/>
    <x v="4"/>
    <x v="1"/>
    <n v="2"/>
    <n v="255.67"/>
    <n v="0.05"/>
    <n v="485.77"/>
    <n v="300"/>
    <n v="185.77"/>
    <s v="Bank Transfer"/>
    <x v="1"/>
  </r>
  <r>
    <x v="836"/>
    <x v="38"/>
    <s v="Emma Davis"/>
    <x v="7"/>
    <s v="North America"/>
    <x v="6"/>
    <x v="0"/>
    <n v="2"/>
    <n v="349.38"/>
    <n v="0"/>
    <n v="698.76"/>
    <n v="400"/>
    <n v="298.76"/>
    <s v="Credit Card"/>
    <x v="1"/>
  </r>
  <r>
    <x v="837"/>
    <x v="233"/>
    <s v="Ethan Walker"/>
    <x v="1"/>
    <s v="Asia"/>
    <x v="1"/>
    <x v="0"/>
    <n v="1"/>
    <n v="203.81"/>
    <n v="0.05"/>
    <n v="193.62"/>
    <n v="110"/>
    <n v="83.62"/>
    <s v="Credit Card"/>
    <x v="0"/>
  </r>
  <r>
    <x v="838"/>
    <x v="118"/>
    <s v="Drew Smith"/>
    <x v="7"/>
    <s v="North America"/>
    <x v="2"/>
    <x v="1"/>
    <n v="4"/>
    <n v="127.31"/>
    <n v="0.05"/>
    <n v="483.78"/>
    <n v="240"/>
    <n v="243.78"/>
    <s v="PayPal"/>
    <x v="1"/>
  </r>
  <r>
    <x v="839"/>
    <x v="70"/>
    <s v="Cameron Anderson"/>
    <x v="3"/>
    <s v="Oceania"/>
    <x v="2"/>
    <x v="1"/>
    <n v="2"/>
    <n v="122.7"/>
    <n v="0"/>
    <n v="245.4"/>
    <n v="120"/>
    <n v="125.4"/>
    <s v="Credit Card"/>
    <x v="1"/>
  </r>
  <r>
    <x v="840"/>
    <x v="155"/>
    <s v="Olivia Smith"/>
    <x v="5"/>
    <s v="Europe"/>
    <x v="3"/>
    <x v="1"/>
    <n v="1"/>
    <n v="858.91"/>
    <n v="0.15"/>
    <n v="730.07"/>
    <n v="600"/>
    <n v="130.07"/>
    <s v="Credit Card"/>
    <x v="1"/>
  </r>
  <r>
    <x v="841"/>
    <x v="332"/>
    <s v="Emma Thomas"/>
    <x v="7"/>
    <s v="North America"/>
    <x v="3"/>
    <x v="1"/>
    <n v="2"/>
    <n v="864.97"/>
    <n v="0.05"/>
    <n v="1643.44"/>
    <n v="1200"/>
    <n v="443.44"/>
    <s v="Credit Card"/>
    <x v="1"/>
  </r>
  <r>
    <x v="842"/>
    <x v="184"/>
    <s v="Jamie Martin"/>
    <x v="0"/>
    <s v="Europe"/>
    <x v="6"/>
    <x v="0"/>
    <n v="1"/>
    <n v="342.84"/>
    <n v="0.05"/>
    <n v="325.7"/>
    <n v="200"/>
    <n v="125.7"/>
    <s v="Credit Card"/>
    <x v="1"/>
  </r>
  <r>
    <x v="843"/>
    <x v="306"/>
    <s v="Morgan Lewis"/>
    <x v="7"/>
    <s v="North America"/>
    <x v="4"/>
    <x v="1"/>
    <n v="2"/>
    <n v="243.7"/>
    <n v="0.05"/>
    <n v="463.03"/>
    <n v="300"/>
    <n v="163.03"/>
    <s v="Bank Transfer"/>
    <x v="0"/>
  </r>
  <r>
    <x v="844"/>
    <x v="113"/>
    <s v="Drew Taylor"/>
    <x v="7"/>
    <s v="North America"/>
    <x v="5"/>
    <x v="1"/>
    <n v="4"/>
    <n v="75.25"/>
    <n v="0.05"/>
    <n v="285.95"/>
    <n v="160"/>
    <n v="125.95"/>
    <s v="Credit Card"/>
    <x v="1"/>
  </r>
  <r>
    <x v="845"/>
    <x v="256"/>
    <s v="Sam Smith"/>
    <x v="1"/>
    <s v="Asia"/>
    <x v="4"/>
    <x v="1"/>
    <n v="2"/>
    <n v="237.76"/>
    <n v="0.15"/>
    <n v="404.19"/>
    <n v="300"/>
    <n v="104.19"/>
    <s v="Debit Card"/>
    <x v="1"/>
  </r>
  <r>
    <x v="846"/>
    <x v="333"/>
    <s v="Olivia Young"/>
    <x v="0"/>
    <s v="Europe"/>
    <x v="7"/>
    <x v="1"/>
    <n v="2"/>
    <n v="442.05"/>
    <n v="0.05"/>
    <n v="839.9"/>
    <n v="560"/>
    <n v="279.89999999999998"/>
    <s v="PayPal"/>
    <x v="0"/>
  </r>
  <r>
    <x v="847"/>
    <x v="334"/>
    <s v="Daniel Moore"/>
    <x v="5"/>
    <s v="Europe"/>
    <x v="7"/>
    <x v="1"/>
    <n v="4"/>
    <n v="399.7"/>
    <n v="0"/>
    <n v="1598.8"/>
    <n v="1120"/>
    <n v="478.8"/>
    <s v="Debit Card"/>
    <x v="1"/>
  </r>
  <r>
    <x v="848"/>
    <x v="76"/>
    <s v="Drew Johnson"/>
    <x v="2"/>
    <s v="Africa"/>
    <x v="7"/>
    <x v="1"/>
    <n v="4"/>
    <n v="425.33"/>
    <n v="0.1"/>
    <n v="1531.19"/>
    <n v="1120"/>
    <n v="411.19"/>
    <s v="PayPal"/>
    <x v="0"/>
  </r>
  <r>
    <x v="849"/>
    <x v="324"/>
    <s v="Alex Wilson"/>
    <x v="7"/>
    <s v="North America"/>
    <x v="7"/>
    <x v="1"/>
    <n v="1"/>
    <n v="405.79"/>
    <n v="0.05"/>
    <n v="385.5"/>
    <n v="280"/>
    <n v="105.5"/>
    <s v="Credit Card"/>
    <x v="0"/>
  </r>
  <r>
    <x v="850"/>
    <x v="82"/>
    <s v="Emma Taylor"/>
    <x v="4"/>
    <s v="Africa"/>
    <x v="5"/>
    <x v="1"/>
    <n v="5"/>
    <n v="72.78"/>
    <n v="0.15"/>
    <n v="309.32"/>
    <n v="200"/>
    <n v="109.32"/>
    <s v="Debit Card"/>
    <x v="1"/>
  </r>
  <r>
    <x v="851"/>
    <x v="293"/>
    <s v="Cameron Hall"/>
    <x v="0"/>
    <s v="Europe"/>
    <x v="0"/>
    <x v="0"/>
    <n v="3"/>
    <n v="287.89"/>
    <n v="0.1"/>
    <n v="777.3"/>
    <n v="510"/>
    <n v="267.3"/>
    <s v="Credit Card"/>
    <x v="1"/>
  </r>
  <r>
    <x v="852"/>
    <x v="72"/>
    <s v="Avery Smith"/>
    <x v="4"/>
    <s v="Africa"/>
    <x v="0"/>
    <x v="0"/>
    <n v="2"/>
    <n v="276.69"/>
    <n v="0.1"/>
    <n v="498.04"/>
    <n v="340"/>
    <n v="158.04"/>
    <s v="Bank Transfer"/>
    <x v="2"/>
  </r>
  <r>
    <x v="853"/>
    <x v="324"/>
    <s v="Avery Martin"/>
    <x v="3"/>
    <s v="Oceania"/>
    <x v="0"/>
    <x v="0"/>
    <n v="3"/>
    <n v="293.77"/>
    <n v="0"/>
    <n v="881.31"/>
    <n v="510"/>
    <n v="371.31"/>
    <s v="Credit Card"/>
    <x v="0"/>
  </r>
  <r>
    <x v="854"/>
    <x v="144"/>
    <s v="Jordan Johnson"/>
    <x v="7"/>
    <s v="North America"/>
    <x v="7"/>
    <x v="1"/>
    <n v="2"/>
    <n v="420.45"/>
    <n v="0"/>
    <n v="840.9"/>
    <n v="560"/>
    <n v="280.89999999999998"/>
    <s v="Debit Card"/>
    <x v="0"/>
  </r>
  <r>
    <x v="855"/>
    <x v="232"/>
    <s v="Cameron Johnson"/>
    <x v="4"/>
    <s v="Africa"/>
    <x v="4"/>
    <x v="1"/>
    <n v="3"/>
    <n v="254.7"/>
    <n v="0"/>
    <n v="764.1"/>
    <n v="450"/>
    <n v="314.10000000000002"/>
    <s v="Credit Card"/>
    <x v="1"/>
  </r>
  <r>
    <x v="856"/>
    <x v="211"/>
    <s v="Drew Young"/>
    <x v="4"/>
    <s v="Africa"/>
    <x v="3"/>
    <x v="1"/>
    <n v="1"/>
    <n v="866.69"/>
    <n v="0"/>
    <n v="866.69"/>
    <n v="600"/>
    <n v="266.69"/>
    <s v="PayPal"/>
    <x v="1"/>
  </r>
  <r>
    <x v="857"/>
    <x v="207"/>
    <s v="Ethan Davis"/>
    <x v="6"/>
    <s v="North America"/>
    <x v="1"/>
    <x v="0"/>
    <n v="2"/>
    <n v="193.11"/>
    <n v="0.05"/>
    <n v="366.91"/>
    <n v="220"/>
    <n v="146.91"/>
    <s v="Debit Card"/>
    <x v="1"/>
  </r>
  <r>
    <x v="858"/>
    <x v="6"/>
    <s v="Sophia Thomas"/>
    <x v="3"/>
    <s v="Oceania"/>
    <x v="7"/>
    <x v="1"/>
    <n v="1"/>
    <n v="427.9"/>
    <n v="0.1"/>
    <n v="385.11"/>
    <n v="280"/>
    <n v="105.11"/>
    <s v="Credit Card"/>
    <x v="2"/>
  </r>
  <r>
    <x v="859"/>
    <x v="60"/>
    <s v="Chris Wilson"/>
    <x v="3"/>
    <s v="Oceania"/>
    <x v="6"/>
    <x v="0"/>
    <n v="1"/>
    <n v="344.73"/>
    <n v="0.1"/>
    <n v="310.26"/>
    <n v="200"/>
    <n v="110.26"/>
    <s v="Credit Card"/>
    <x v="0"/>
  </r>
  <r>
    <x v="860"/>
    <x v="335"/>
    <s v="Riley Taylor"/>
    <x v="3"/>
    <s v="Oceania"/>
    <x v="6"/>
    <x v="0"/>
    <n v="1"/>
    <n v="347.23"/>
    <n v="0"/>
    <n v="347.23"/>
    <n v="200"/>
    <n v="147.22999999999999"/>
    <s v="Debit Card"/>
    <x v="0"/>
  </r>
  <r>
    <x v="861"/>
    <x v="20"/>
    <s v="Cameron Davis"/>
    <x v="5"/>
    <s v="Europe"/>
    <x v="0"/>
    <x v="0"/>
    <n v="4"/>
    <n v="280.89"/>
    <n v="0.1"/>
    <n v="1011.2"/>
    <n v="680"/>
    <n v="331.2"/>
    <s v="Bank Transfer"/>
    <x v="2"/>
  </r>
  <r>
    <x v="862"/>
    <x v="272"/>
    <s v="Sophia Smith"/>
    <x v="7"/>
    <s v="North America"/>
    <x v="6"/>
    <x v="0"/>
    <n v="3"/>
    <n v="315.45999999999998"/>
    <n v="0.05"/>
    <n v="899.06"/>
    <n v="600"/>
    <n v="299.06"/>
    <s v="Debit Card"/>
    <x v="1"/>
  </r>
  <r>
    <x v="863"/>
    <x v="336"/>
    <s v="Noah Walker"/>
    <x v="7"/>
    <s v="North America"/>
    <x v="7"/>
    <x v="1"/>
    <n v="4"/>
    <n v="431.38"/>
    <n v="0"/>
    <n v="1725.52"/>
    <n v="1120"/>
    <n v="605.52"/>
    <s v="Credit Card"/>
    <x v="1"/>
  </r>
  <r>
    <x v="864"/>
    <x v="118"/>
    <s v="Liam Johnson"/>
    <x v="6"/>
    <s v="North America"/>
    <x v="1"/>
    <x v="0"/>
    <n v="1"/>
    <n v="202.3"/>
    <n v="0"/>
    <n v="202.3"/>
    <n v="110"/>
    <n v="92.3"/>
    <s v="Credit Card"/>
    <x v="0"/>
  </r>
  <r>
    <x v="865"/>
    <x v="307"/>
    <s v="Olivia Young"/>
    <x v="5"/>
    <s v="Europe"/>
    <x v="0"/>
    <x v="0"/>
    <n v="4"/>
    <n v="280.58"/>
    <n v="0"/>
    <n v="1122.32"/>
    <n v="680"/>
    <n v="442.32"/>
    <s v="Credit Card"/>
    <x v="1"/>
  </r>
  <r>
    <x v="866"/>
    <x v="191"/>
    <s v="Noah Hall"/>
    <x v="6"/>
    <s v="North America"/>
    <x v="6"/>
    <x v="0"/>
    <n v="6"/>
    <n v="321.35000000000002"/>
    <n v="0.05"/>
    <n v="1831.7"/>
    <n v="1200"/>
    <n v="631.70000000000005"/>
    <s v="Credit Card"/>
    <x v="2"/>
  </r>
  <r>
    <x v="867"/>
    <x v="105"/>
    <s v="Chris Clark"/>
    <x v="3"/>
    <s v="Oceania"/>
    <x v="5"/>
    <x v="1"/>
    <n v="1"/>
    <n v="77.52"/>
    <n v="0.05"/>
    <n v="73.64"/>
    <n v="40"/>
    <n v="33.64"/>
    <s v="Credit Card"/>
    <x v="1"/>
  </r>
  <r>
    <x v="868"/>
    <x v="17"/>
    <s v="Riley Moore"/>
    <x v="2"/>
    <s v="Africa"/>
    <x v="1"/>
    <x v="0"/>
    <n v="1"/>
    <n v="193.75"/>
    <n v="0"/>
    <n v="193.75"/>
    <n v="110"/>
    <n v="83.75"/>
    <s v="PayPal"/>
    <x v="0"/>
  </r>
  <r>
    <x v="869"/>
    <x v="286"/>
    <s v="Mia Davis"/>
    <x v="4"/>
    <s v="Africa"/>
    <x v="4"/>
    <x v="1"/>
    <n v="1"/>
    <n v="239.51"/>
    <n v="0.1"/>
    <n v="215.56"/>
    <n v="150"/>
    <n v="65.56"/>
    <s v="Bank Transfer"/>
    <x v="1"/>
  </r>
  <r>
    <x v="870"/>
    <x v="302"/>
    <s v="Taylor Martin"/>
    <x v="2"/>
    <s v="Africa"/>
    <x v="6"/>
    <x v="0"/>
    <n v="5"/>
    <n v="336.93"/>
    <n v="0.05"/>
    <n v="1600.42"/>
    <n v="1000"/>
    <n v="600.41999999999996"/>
    <s v="Credit Card"/>
    <x v="2"/>
  </r>
  <r>
    <x v="871"/>
    <x v="218"/>
    <s v="Emma Brown"/>
    <x v="6"/>
    <s v="North America"/>
    <x v="2"/>
    <x v="1"/>
    <n v="2"/>
    <n v="124.76"/>
    <n v="0"/>
    <n v="249.52"/>
    <n v="120"/>
    <n v="129.52000000000001"/>
    <s v="PayPal"/>
    <x v="1"/>
  </r>
  <r>
    <x v="872"/>
    <x v="143"/>
    <s v="Jordan Anderson"/>
    <x v="0"/>
    <s v="Europe"/>
    <x v="0"/>
    <x v="0"/>
    <n v="1"/>
    <n v="271.25"/>
    <n v="0.1"/>
    <n v="244.12"/>
    <n v="170"/>
    <n v="74.12"/>
    <s v="Debit Card"/>
    <x v="0"/>
  </r>
  <r>
    <x v="873"/>
    <x v="23"/>
    <s v="Morgan Smith"/>
    <x v="4"/>
    <s v="Africa"/>
    <x v="5"/>
    <x v="1"/>
    <n v="1"/>
    <n v="73.47"/>
    <n v="0.15"/>
    <n v="62.45"/>
    <n v="40"/>
    <n v="22.45"/>
    <s v="Credit Card"/>
    <x v="0"/>
  </r>
  <r>
    <x v="874"/>
    <x v="337"/>
    <s v="Alex Thomas"/>
    <x v="1"/>
    <s v="Asia"/>
    <x v="4"/>
    <x v="1"/>
    <n v="2"/>
    <n v="258.70999999999998"/>
    <n v="0"/>
    <n v="517.41999999999996"/>
    <n v="300"/>
    <n v="217.42"/>
    <s v="Credit Card"/>
    <x v="2"/>
  </r>
  <r>
    <x v="875"/>
    <x v="306"/>
    <s v="Ethan Hall"/>
    <x v="0"/>
    <s v="Europe"/>
    <x v="5"/>
    <x v="1"/>
    <n v="3"/>
    <n v="79.67"/>
    <n v="0.05"/>
    <n v="227.06"/>
    <n v="120"/>
    <n v="107.06"/>
    <s v="Debit Card"/>
    <x v="1"/>
  </r>
  <r>
    <x v="876"/>
    <x v="316"/>
    <s v="Ethan Hall"/>
    <x v="6"/>
    <s v="North America"/>
    <x v="5"/>
    <x v="1"/>
    <n v="3"/>
    <n v="71.430000000000007"/>
    <n v="0.05"/>
    <n v="203.58"/>
    <n v="120"/>
    <n v="83.58"/>
    <s v="Credit Card"/>
    <x v="2"/>
  </r>
  <r>
    <x v="877"/>
    <x v="323"/>
    <s v="Casey Moore"/>
    <x v="6"/>
    <s v="North America"/>
    <x v="6"/>
    <x v="0"/>
    <n v="1"/>
    <n v="345.86"/>
    <n v="0.05"/>
    <n v="328.57"/>
    <n v="200"/>
    <n v="128.57"/>
    <s v="PayPal"/>
    <x v="1"/>
  </r>
  <r>
    <x v="878"/>
    <x v="178"/>
    <s v="Liam Young"/>
    <x v="2"/>
    <s v="Africa"/>
    <x v="7"/>
    <x v="1"/>
    <n v="5"/>
    <n v="429.35"/>
    <n v="0.05"/>
    <n v="2039.41"/>
    <n v="1400"/>
    <n v="639.41"/>
    <s v="Debit Card"/>
    <x v="2"/>
  </r>
  <r>
    <x v="879"/>
    <x v="186"/>
    <s v="Jordan Clark"/>
    <x v="4"/>
    <s v="Africa"/>
    <x v="1"/>
    <x v="0"/>
    <n v="2"/>
    <n v="190.09"/>
    <n v="0"/>
    <n v="380.18"/>
    <n v="220"/>
    <n v="160.18"/>
    <s v="PayPal"/>
    <x v="1"/>
  </r>
  <r>
    <x v="880"/>
    <x v="93"/>
    <s v="Alex Davis"/>
    <x v="0"/>
    <s v="Europe"/>
    <x v="4"/>
    <x v="1"/>
    <n v="3"/>
    <n v="243.72"/>
    <n v="0"/>
    <n v="731.16"/>
    <n v="450"/>
    <n v="281.16000000000003"/>
    <s v="Debit Card"/>
    <x v="2"/>
  </r>
  <r>
    <x v="881"/>
    <x v="12"/>
    <s v="Jordan Lewis"/>
    <x v="6"/>
    <s v="North America"/>
    <x v="4"/>
    <x v="1"/>
    <n v="2"/>
    <n v="241.5"/>
    <n v="0.1"/>
    <n v="434.7"/>
    <n v="300"/>
    <n v="134.69999999999999"/>
    <s v="Credit Card"/>
    <x v="2"/>
  </r>
  <r>
    <x v="882"/>
    <x v="321"/>
    <s v="Daniel Lewis"/>
    <x v="5"/>
    <s v="Europe"/>
    <x v="6"/>
    <x v="0"/>
    <n v="2"/>
    <n v="312.58999999999997"/>
    <n v="0"/>
    <n v="625.17999999999995"/>
    <n v="400"/>
    <n v="225.18"/>
    <s v="Debit Card"/>
    <x v="1"/>
  </r>
  <r>
    <x v="883"/>
    <x v="63"/>
    <s v="Olivia Taylor"/>
    <x v="3"/>
    <s v="Oceania"/>
    <x v="0"/>
    <x v="0"/>
    <n v="4"/>
    <n v="269.70999999999998"/>
    <n v="0"/>
    <n v="1078.8399999999999"/>
    <n v="680"/>
    <n v="398.84"/>
    <s v="Credit Card"/>
    <x v="1"/>
  </r>
  <r>
    <x v="884"/>
    <x v="94"/>
    <s v="Drew Walker"/>
    <x v="2"/>
    <s v="Africa"/>
    <x v="5"/>
    <x v="1"/>
    <n v="2"/>
    <n v="77.72"/>
    <n v="0.05"/>
    <n v="147.66999999999999"/>
    <n v="80"/>
    <n v="67.67"/>
    <s v="Debit Card"/>
    <x v="2"/>
  </r>
  <r>
    <x v="885"/>
    <x v="71"/>
    <s v="Chris Davis"/>
    <x v="5"/>
    <s v="Europe"/>
    <x v="7"/>
    <x v="1"/>
    <n v="3"/>
    <n v="442.01"/>
    <n v="0"/>
    <n v="1326.03"/>
    <n v="840"/>
    <n v="486.03"/>
    <s v="Credit Card"/>
    <x v="1"/>
  </r>
  <r>
    <x v="886"/>
    <x v="87"/>
    <s v="Sophia Martin"/>
    <x v="3"/>
    <s v="Oceania"/>
    <x v="4"/>
    <x v="1"/>
    <n v="4"/>
    <n v="252.47"/>
    <n v="0.05"/>
    <n v="959.39"/>
    <n v="600"/>
    <n v="359.39"/>
    <s v="Credit Card"/>
    <x v="2"/>
  </r>
  <r>
    <x v="887"/>
    <x v="228"/>
    <s v="Riley Taylor"/>
    <x v="6"/>
    <s v="North America"/>
    <x v="3"/>
    <x v="1"/>
    <n v="2"/>
    <n v="838.73"/>
    <n v="0.15"/>
    <n v="1425.84"/>
    <n v="1200"/>
    <n v="225.84"/>
    <s v="Debit Card"/>
    <x v="2"/>
  </r>
  <r>
    <x v="888"/>
    <x v="169"/>
    <s v="Mia Martin"/>
    <x v="7"/>
    <s v="North America"/>
    <x v="2"/>
    <x v="1"/>
    <n v="4"/>
    <n v="124.44"/>
    <n v="0.05"/>
    <n v="472.87"/>
    <n v="240"/>
    <n v="232.87"/>
    <s v="PayPal"/>
    <x v="1"/>
  </r>
  <r>
    <x v="889"/>
    <x v="319"/>
    <s v="Jamie Hall"/>
    <x v="3"/>
    <s v="Oceania"/>
    <x v="5"/>
    <x v="1"/>
    <n v="1"/>
    <n v="77.349999999999994"/>
    <n v="0.05"/>
    <n v="73.48"/>
    <n v="40"/>
    <n v="33.479999999999997"/>
    <s v="Debit Card"/>
    <x v="2"/>
  </r>
  <r>
    <x v="890"/>
    <x v="73"/>
    <s v="Noah Brown"/>
    <x v="6"/>
    <s v="North America"/>
    <x v="5"/>
    <x v="1"/>
    <n v="6"/>
    <n v="73.89"/>
    <n v="0.15"/>
    <n v="376.84"/>
    <n v="240"/>
    <n v="136.84"/>
    <s v="Debit Card"/>
    <x v="1"/>
  </r>
  <r>
    <x v="891"/>
    <x v="307"/>
    <s v="Sophia Moore"/>
    <x v="6"/>
    <s v="North America"/>
    <x v="0"/>
    <x v="0"/>
    <n v="3"/>
    <n v="292.16000000000003"/>
    <n v="0"/>
    <n v="876.48"/>
    <n v="510"/>
    <n v="366.48"/>
    <s v="Debit Card"/>
    <x v="2"/>
  </r>
  <r>
    <x v="892"/>
    <x v="284"/>
    <s v="Chris Brown"/>
    <x v="2"/>
    <s v="Africa"/>
    <x v="6"/>
    <x v="0"/>
    <n v="1"/>
    <n v="329.16"/>
    <n v="0"/>
    <n v="329.16"/>
    <n v="200"/>
    <n v="129.16"/>
    <s v="Credit Card"/>
    <x v="2"/>
  </r>
  <r>
    <x v="893"/>
    <x v="165"/>
    <s v="Morgan Martin"/>
    <x v="1"/>
    <s v="Asia"/>
    <x v="7"/>
    <x v="1"/>
    <n v="6"/>
    <n v="423.9"/>
    <n v="0.05"/>
    <n v="2416.23"/>
    <n v="1680"/>
    <n v="736.23"/>
    <s v="Credit Card"/>
    <x v="0"/>
  </r>
  <r>
    <x v="894"/>
    <x v="68"/>
    <s v="Jordan Moore"/>
    <x v="5"/>
    <s v="Europe"/>
    <x v="0"/>
    <x v="0"/>
    <n v="2"/>
    <n v="278.10000000000002"/>
    <n v="0.05"/>
    <n v="528.39"/>
    <n v="340"/>
    <n v="188.39"/>
    <s v="Credit Card"/>
    <x v="1"/>
  </r>
  <r>
    <x v="895"/>
    <x v="104"/>
    <s v="Avery Brown"/>
    <x v="5"/>
    <s v="Europe"/>
    <x v="2"/>
    <x v="1"/>
    <n v="2"/>
    <n v="116.75"/>
    <n v="0.05"/>
    <n v="221.82"/>
    <n v="120"/>
    <n v="101.82"/>
    <s v="Debit Card"/>
    <x v="1"/>
  </r>
  <r>
    <x v="896"/>
    <x v="206"/>
    <s v="Avery Martin"/>
    <x v="3"/>
    <s v="Oceania"/>
    <x v="1"/>
    <x v="0"/>
    <n v="1"/>
    <n v="196.21"/>
    <n v="0.1"/>
    <n v="176.59"/>
    <n v="110"/>
    <n v="66.59"/>
    <s v="Credit Card"/>
    <x v="0"/>
  </r>
  <r>
    <x v="897"/>
    <x v="235"/>
    <s v="Avery Thomas"/>
    <x v="2"/>
    <s v="Africa"/>
    <x v="0"/>
    <x v="0"/>
    <n v="1"/>
    <n v="274.95"/>
    <n v="0"/>
    <n v="274.95"/>
    <n v="170"/>
    <n v="104.95"/>
    <s v="PayPal"/>
    <x v="0"/>
  </r>
  <r>
    <x v="898"/>
    <x v="164"/>
    <s v="Olivia Davis"/>
    <x v="1"/>
    <s v="Asia"/>
    <x v="6"/>
    <x v="0"/>
    <n v="1"/>
    <n v="332.65"/>
    <n v="0.05"/>
    <n v="316.02"/>
    <n v="200"/>
    <n v="116.02"/>
    <s v="Credit Card"/>
    <x v="1"/>
  </r>
  <r>
    <x v="899"/>
    <x v="297"/>
    <s v="Cameron Martin"/>
    <x v="2"/>
    <s v="Africa"/>
    <x v="0"/>
    <x v="0"/>
    <n v="1"/>
    <n v="293.25"/>
    <n v="0"/>
    <n v="293.25"/>
    <n v="170"/>
    <n v="123.25"/>
    <s v="Credit Card"/>
    <x v="0"/>
  </r>
  <r>
    <x v="900"/>
    <x v="4"/>
    <s v="Taylor Taylor"/>
    <x v="5"/>
    <s v="Europe"/>
    <x v="1"/>
    <x v="0"/>
    <n v="1"/>
    <n v="187.53"/>
    <n v="0.1"/>
    <n v="168.78"/>
    <n v="110"/>
    <n v="58.78"/>
    <s v="PayPal"/>
    <x v="2"/>
  </r>
  <r>
    <x v="901"/>
    <x v="240"/>
    <s v="Casey Taylor"/>
    <x v="1"/>
    <s v="Asia"/>
    <x v="6"/>
    <x v="0"/>
    <n v="5"/>
    <n v="331.22"/>
    <n v="0"/>
    <n v="1656.1"/>
    <n v="1000"/>
    <n v="656.1"/>
    <s v="Credit Card"/>
    <x v="1"/>
  </r>
  <r>
    <x v="902"/>
    <x v="128"/>
    <s v="Ethan Hall"/>
    <x v="7"/>
    <s v="North America"/>
    <x v="3"/>
    <x v="1"/>
    <n v="4"/>
    <n v="908.53"/>
    <n v="0.1"/>
    <n v="3270.71"/>
    <n v="2400"/>
    <n v="870.71"/>
    <s v="PayPal"/>
    <x v="1"/>
  </r>
  <r>
    <x v="903"/>
    <x v="14"/>
    <s v="Cameron Clark"/>
    <x v="6"/>
    <s v="North America"/>
    <x v="5"/>
    <x v="1"/>
    <n v="6"/>
    <n v="80.27"/>
    <n v="0.2"/>
    <n v="385.3"/>
    <n v="240"/>
    <n v="145.30000000000001"/>
    <s v="Credit Card"/>
    <x v="0"/>
  </r>
  <r>
    <x v="904"/>
    <x v="89"/>
    <s v="Ethan Davis"/>
    <x v="4"/>
    <s v="Africa"/>
    <x v="6"/>
    <x v="0"/>
    <n v="4"/>
    <n v="316.83999999999997"/>
    <n v="0"/>
    <n v="1267.3599999999999"/>
    <n v="800"/>
    <n v="467.36"/>
    <s v="Debit Card"/>
    <x v="1"/>
  </r>
  <r>
    <x v="905"/>
    <x v="131"/>
    <s v="Drew Johnson"/>
    <x v="7"/>
    <s v="North America"/>
    <x v="5"/>
    <x v="1"/>
    <n v="1"/>
    <n v="71.540000000000006"/>
    <n v="0"/>
    <n v="71.540000000000006"/>
    <n v="40"/>
    <n v="31.54"/>
    <s v="Bank Transfer"/>
    <x v="1"/>
  </r>
  <r>
    <x v="906"/>
    <x v="121"/>
    <s v="Alex Wilson"/>
    <x v="6"/>
    <s v="North America"/>
    <x v="4"/>
    <x v="1"/>
    <n v="3"/>
    <n v="231.26"/>
    <n v="0"/>
    <n v="693.78"/>
    <n v="450"/>
    <n v="243.78"/>
    <s v="Credit Card"/>
    <x v="1"/>
  </r>
  <r>
    <x v="907"/>
    <x v="291"/>
    <s v="Jamie Moore"/>
    <x v="1"/>
    <s v="Asia"/>
    <x v="3"/>
    <x v="1"/>
    <n v="5"/>
    <n v="887.32"/>
    <n v="0.1"/>
    <n v="3992.94"/>
    <n v="3000"/>
    <n v="992.94"/>
    <s v="Credit Card"/>
    <x v="2"/>
  </r>
  <r>
    <x v="908"/>
    <x v="338"/>
    <s v="Cameron Thomas"/>
    <x v="5"/>
    <s v="Europe"/>
    <x v="3"/>
    <x v="1"/>
    <n v="3"/>
    <n v="914.27"/>
    <n v="0"/>
    <n v="2742.81"/>
    <n v="1800"/>
    <n v="942.81"/>
    <s v="Bank Transfer"/>
    <x v="1"/>
  </r>
  <r>
    <x v="909"/>
    <x v="68"/>
    <s v="Ethan Davis"/>
    <x v="6"/>
    <s v="North America"/>
    <x v="3"/>
    <x v="1"/>
    <n v="1"/>
    <n v="899.55"/>
    <n v="0.15"/>
    <n v="764.62"/>
    <n v="600"/>
    <n v="164.62"/>
    <s v="Debit Card"/>
    <x v="1"/>
  </r>
  <r>
    <x v="910"/>
    <x v="322"/>
    <s v="Liam Hall"/>
    <x v="3"/>
    <s v="Oceania"/>
    <x v="3"/>
    <x v="1"/>
    <n v="2"/>
    <n v="814.84"/>
    <n v="0"/>
    <n v="1629.68"/>
    <n v="1200"/>
    <n v="429.68"/>
    <s v="Credit Card"/>
    <x v="1"/>
  </r>
  <r>
    <x v="911"/>
    <x v="195"/>
    <s v="Sophia Clark"/>
    <x v="2"/>
    <s v="Africa"/>
    <x v="5"/>
    <x v="1"/>
    <n v="2"/>
    <n v="78.099999999999994"/>
    <n v="0.05"/>
    <n v="148.38999999999999"/>
    <n v="80"/>
    <n v="68.39"/>
    <s v="Bank Transfer"/>
    <x v="2"/>
  </r>
  <r>
    <x v="912"/>
    <x v="213"/>
    <s v="Mia Brown"/>
    <x v="5"/>
    <s v="Europe"/>
    <x v="5"/>
    <x v="1"/>
    <n v="3"/>
    <n v="79.650000000000006"/>
    <n v="0"/>
    <n v="238.95"/>
    <n v="120"/>
    <n v="118.95"/>
    <s v="Debit Card"/>
    <x v="1"/>
  </r>
  <r>
    <x v="913"/>
    <x v="313"/>
    <s v="Liam Davis"/>
    <x v="3"/>
    <s v="Oceania"/>
    <x v="5"/>
    <x v="1"/>
    <n v="1"/>
    <n v="76.45"/>
    <n v="0.05"/>
    <n v="72.63"/>
    <n v="40"/>
    <n v="32.630000000000003"/>
    <s v="Debit Card"/>
    <x v="2"/>
  </r>
  <r>
    <x v="914"/>
    <x v="216"/>
    <s v="Sam Brown"/>
    <x v="4"/>
    <s v="Africa"/>
    <x v="2"/>
    <x v="1"/>
    <n v="1"/>
    <n v="121.34"/>
    <n v="0.05"/>
    <n v="115.27"/>
    <n v="60"/>
    <n v="55.27"/>
    <s v="Debit Card"/>
    <x v="2"/>
  </r>
  <r>
    <x v="915"/>
    <x v="11"/>
    <s v="Olivia Walker"/>
    <x v="0"/>
    <s v="Europe"/>
    <x v="1"/>
    <x v="0"/>
    <n v="2"/>
    <n v="199.28"/>
    <n v="0"/>
    <n v="398.56"/>
    <n v="220"/>
    <n v="178.56"/>
    <s v="Bank Transfer"/>
    <x v="2"/>
  </r>
  <r>
    <x v="916"/>
    <x v="9"/>
    <s v="Olivia Thomas"/>
    <x v="1"/>
    <s v="Asia"/>
    <x v="5"/>
    <x v="1"/>
    <n v="2"/>
    <n v="79.53"/>
    <n v="0.05"/>
    <n v="151.11000000000001"/>
    <n v="80"/>
    <n v="71.11"/>
    <s v="Credit Card"/>
    <x v="1"/>
  </r>
  <r>
    <x v="917"/>
    <x v="205"/>
    <s v="Drew Walker"/>
    <x v="1"/>
    <s v="Asia"/>
    <x v="1"/>
    <x v="0"/>
    <n v="3"/>
    <n v="187.86"/>
    <n v="0.05"/>
    <n v="535.4"/>
    <n v="330"/>
    <n v="205.4"/>
    <s v="Credit Card"/>
    <x v="1"/>
  </r>
  <r>
    <x v="918"/>
    <x v="26"/>
    <s v="Riley Taylor"/>
    <x v="2"/>
    <s v="Africa"/>
    <x v="5"/>
    <x v="1"/>
    <n v="1"/>
    <n v="77.92"/>
    <n v="0.05"/>
    <n v="74.02"/>
    <n v="40"/>
    <n v="34.020000000000003"/>
    <s v="PayPal"/>
    <x v="2"/>
  </r>
  <r>
    <x v="919"/>
    <x v="326"/>
    <s v="Avery Young"/>
    <x v="7"/>
    <s v="North America"/>
    <x v="2"/>
    <x v="1"/>
    <n v="2"/>
    <n v="114.38"/>
    <n v="0.15"/>
    <n v="194.45"/>
    <n v="120"/>
    <n v="74.45"/>
    <s v="Credit Card"/>
    <x v="0"/>
  </r>
  <r>
    <x v="920"/>
    <x v="35"/>
    <s v="Jamie Clark"/>
    <x v="2"/>
    <s v="Africa"/>
    <x v="5"/>
    <x v="1"/>
    <n v="3"/>
    <n v="72.5"/>
    <n v="0.1"/>
    <n v="195.75"/>
    <n v="120"/>
    <n v="75.75"/>
    <s v="Credit Card"/>
    <x v="1"/>
  </r>
  <r>
    <x v="921"/>
    <x v="85"/>
    <s v="Morgan Brown"/>
    <x v="0"/>
    <s v="Europe"/>
    <x v="4"/>
    <x v="1"/>
    <n v="2"/>
    <n v="246.25"/>
    <n v="0.05"/>
    <n v="467.88"/>
    <n v="300"/>
    <n v="167.88"/>
    <s v="PayPal"/>
    <x v="1"/>
  </r>
  <r>
    <x v="922"/>
    <x v="58"/>
    <s v="Sophia Wilson"/>
    <x v="3"/>
    <s v="Oceania"/>
    <x v="7"/>
    <x v="1"/>
    <n v="2"/>
    <n v="427.18"/>
    <n v="0"/>
    <n v="854.36"/>
    <n v="560"/>
    <n v="294.36"/>
    <s v="Bank Transfer"/>
    <x v="0"/>
  </r>
  <r>
    <x v="923"/>
    <x v="339"/>
    <s v="Casey Davis"/>
    <x v="4"/>
    <s v="Africa"/>
    <x v="3"/>
    <x v="1"/>
    <n v="1"/>
    <n v="829.18"/>
    <n v="0.1"/>
    <n v="746.26"/>
    <n v="600"/>
    <n v="146.26"/>
    <s v="Debit Card"/>
    <x v="1"/>
  </r>
  <r>
    <x v="924"/>
    <x v="340"/>
    <s v="Drew Thomas"/>
    <x v="4"/>
    <s v="Africa"/>
    <x v="5"/>
    <x v="1"/>
    <n v="2"/>
    <n v="71.790000000000006"/>
    <n v="0.1"/>
    <n v="129.22"/>
    <n v="80"/>
    <n v="49.22"/>
    <s v="Bank Transfer"/>
    <x v="1"/>
  </r>
  <r>
    <x v="925"/>
    <x v="319"/>
    <s v="Casey Brown"/>
    <x v="4"/>
    <s v="Africa"/>
    <x v="7"/>
    <x v="1"/>
    <n v="1"/>
    <n v="447.96"/>
    <n v="0"/>
    <n v="447.96"/>
    <n v="280"/>
    <n v="167.96"/>
    <s v="Credit Card"/>
    <x v="1"/>
  </r>
  <r>
    <x v="926"/>
    <x v="205"/>
    <s v="Alex Taylor"/>
    <x v="4"/>
    <s v="Africa"/>
    <x v="7"/>
    <x v="1"/>
    <n v="4"/>
    <n v="440.15"/>
    <n v="0.05"/>
    <n v="1672.57"/>
    <n v="1120"/>
    <n v="552.57000000000005"/>
    <s v="Bank Transfer"/>
    <x v="0"/>
  </r>
  <r>
    <x v="927"/>
    <x v="47"/>
    <s v="Cameron Martin"/>
    <x v="3"/>
    <s v="Oceania"/>
    <x v="5"/>
    <x v="1"/>
    <n v="3"/>
    <n v="76.48"/>
    <n v="0"/>
    <n v="229.44"/>
    <n v="120"/>
    <n v="109.44"/>
    <s v="Credit Card"/>
    <x v="2"/>
  </r>
  <r>
    <x v="928"/>
    <x v="251"/>
    <s v="Sophia Hall"/>
    <x v="3"/>
    <s v="Oceania"/>
    <x v="4"/>
    <x v="1"/>
    <n v="3"/>
    <n v="235.03"/>
    <n v="0"/>
    <n v="705.09"/>
    <n v="450"/>
    <n v="255.09"/>
    <s v="Debit Card"/>
    <x v="1"/>
  </r>
  <r>
    <x v="929"/>
    <x v="137"/>
    <s v="Sophia Taylor"/>
    <x v="0"/>
    <s v="Europe"/>
    <x v="1"/>
    <x v="0"/>
    <n v="3"/>
    <n v="201.11"/>
    <n v="0.1"/>
    <n v="543"/>
    <n v="330"/>
    <n v="213"/>
    <s v="Bank Transfer"/>
    <x v="1"/>
  </r>
  <r>
    <x v="930"/>
    <x v="131"/>
    <s v="Mia Davis"/>
    <x v="2"/>
    <s v="Africa"/>
    <x v="4"/>
    <x v="1"/>
    <n v="4"/>
    <n v="240.43"/>
    <n v="0.05"/>
    <n v="913.63"/>
    <n v="600"/>
    <n v="313.63"/>
    <s v="Bank Transfer"/>
    <x v="1"/>
  </r>
  <r>
    <x v="931"/>
    <x v="341"/>
    <s v="Mia Walker"/>
    <x v="5"/>
    <s v="Europe"/>
    <x v="2"/>
    <x v="1"/>
    <n v="2"/>
    <n v="120.86"/>
    <n v="0"/>
    <n v="241.72"/>
    <n v="120"/>
    <n v="121.72"/>
    <s v="Bank Transfer"/>
    <x v="1"/>
  </r>
  <r>
    <x v="932"/>
    <x v="48"/>
    <s v="Mia Walker"/>
    <x v="1"/>
    <s v="Asia"/>
    <x v="2"/>
    <x v="1"/>
    <n v="5"/>
    <n v="127.4"/>
    <n v="0.15"/>
    <n v="541.45000000000005"/>
    <n v="300"/>
    <n v="241.45"/>
    <s v="Credit Card"/>
    <x v="1"/>
  </r>
  <r>
    <x v="933"/>
    <x v="342"/>
    <s v="Riley Young"/>
    <x v="1"/>
    <s v="Asia"/>
    <x v="0"/>
    <x v="0"/>
    <n v="1"/>
    <n v="268.86"/>
    <n v="0.1"/>
    <n v="241.97"/>
    <n v="170"/>
    <n v="71.97"/>
    <s v="Debit Card"/>
    <x v="0"/>
  </r>
  <r>
    <x v="934"/>
    <x v="145"/>
    <s v="Alex Smith"/>
    <x v="4"/>
    <s v="Africa"/>
    <x v="6"/>
    <x v="0"/>
    <n v="3"/>
    <n v="326.27999999999997"/>
    <n v="0.15"/>
    <n v="832.01"/>
    <n v="600"/>
    <n v="232.01"/>
    <s v="Credit Card"/>
    <x v="1"/>
  </r>
  <r>
    <x v="935"/>
    <x v="32"/>
    <s v="Daniel Martin"/>
    <x v="3"/>
    <s v="Oceania"/>
    <x v="1"/>
    <x v="0"/>
    <n v="1"/>
    <n v="200.77"/>
    <n v="0.05"/>
    <n v="190.73"/>
    <n v="110"/>
    <n v="80.73"/>
    <s v="Credit Card"/>
    <x v="2"/>
  </r>
  <r>
    <x v="936"/>
    <x v="302"/>
    <s v="Ethan Hall"/>
    <x v="0"/>
    <s v="Europe"/>
    <x v="2"/>
    <x v="1"/>
    <n v="3"/>
    <n v="128.96"/>
    <n v="0.05"/>
    <n v="367.54"/>
    <n v="180"/>
    <n v="187.54"/>
    <s v="Bank Transfer"/>
    <x v="2"/>
  </r>
  <r>
    <x v="937"/>
    <x v="43"/>
    <s v="Sophia Moore"/>
    <x v="1"/>
    <s v="Asia"/>
    <x v="3"/>
    <x v="1"/>
    <n v="3"/>
    <n v="816.85"/>
    <n v="0"/>
    <n v="2450.5500000000002"/>
    <n v="1800"/>
    <n v="650.54999999999995"/>
    <s v="Credit Card"/>
    <x v="1"/>
  </r>
  <r>
    <x v="938"/>
    <x v="248"/>
    <s v="Alex Johnson"/>
    <x v="3"/>
    <s v="Oceania"/>
    <x v="1"/>
    <x v="0"/>
    <n v="2"/>
    <n v="190.22"/>
    <n v="0"/>
    <n v="380.44"/>
    <n v="220"/>
    <n v="160.44"/>
    <s v="Bank Transfer"/>
    <x v="1"/>
  </r>
  <r>
    <x v="939"/>
    <x v="47"/>
    <s v="Daniel Brown"/>
    <x v="7"/>
    <s v="North America"/>
    <x v="0"/>
    <x v="0"/>
    <n v="1"/>
    <n v="270.27999999999997"/>
    <n v="0.1"/>
    <n v="243.25"/>
    <n v="170"/>
    <n v="73.25"/>
    <s v="Credit Card"/>
    <x v="2"/>
  </r>
  <r>
    <x v="940"/>
    <x v="84"/>
    <s v="Mia Davis"/>
    <x v="1"/>
    <s v="Asia"/>
    <x v="1"/>
    <x v="0"/>
    <n v="2"/>
    <n v="197.19"/>
    <n v="0"/>
    <n v="394.38"/>
    <n v="220"/>
    <n v="174.38"/>
    <s v="Debit Card"/>
    <x v="0"/>
  </r>
  <r>
    <x v="941"/>
    <x v="277"/>
    <s v="Chris Clark"/>
    <x v="5"/>
    <s v="Europe"/>
    <x v="0"/>
    <x v="0"/>
    <n v="1"/>
    <n v="279.14"/>
    <n v="0.1"/>
    <n v="251.23"/>
    <n v="170"/>
    <n v="81.23"/>
    <s v="PayPal"/>
    <x v="1"/>
  </r>
  <r>
    <x v="942"/>
    <x v="153"/>
    <s v="Alex Martin"/>
    <x v="0"/>
    <s v="Europe"/>
    <x v="6"/>
    <x v="0"/>
    <n v="1"/>
    <n v="335.04"/>
    <n v="0.15"/>
    <n v="284.77999999999997"/>
    <n v="200"/>
    <n v="84.78"/>
    <s v="Credit Card"/>
    <x v="1"/>
  </r>
  <r>
    <x v="943"/>
    <x v="72"/>
    <s v="Liam Brown"/>
    <x v="5"/>
    <s v="Europe"/>
    <x v="5"/>
    <x v="1"/>
    <n v="3"/>
    <n v="78.13"/>
    <n v="0.15"/>
    <n v="199.23"/>
    <n v="120"/>
    <n v="79.23"/>
    <s v="Debit Card"/>
    <x v="1"/>
  </r>
  <r>
    <x v="944"/>
    <x v="237"/>
    <s v="Alex Smith"/>
    <x v="6"/>
    <s v="North America"/>
    <x v="5"/>
    <x v="1"/>
    <n v="3"/>
    <n v="78.37"/>
    <n v="0"/>
    <n v="235.11"/>
    <n v="120"/>
    <n v="115.11"/>
    <s v="Debit Card"/>
    <x v="0"/>
  </r>
  <r>
    <x v="945"/>
    <x v="66"/>
    <s v="Riley Brown"/>
    <x v="5"/>
    <s v="Europe"/>
    <x v="1"/>
    <x v="0"/>
    <n v="5"/>
    <n v="204.96"/>
    <n v="0"/>
    <n v="1024.8"/>
    <n v="550"/>
    <n v="474.8"/>
    <s v="Credit Card"/>
    <x v="2"/>
  </r>
  <r>
    <x v="946"/>
    <x v="167"/>
    <s v="Ethan Walker"/>
    <x v="1"/>
    <s v="Asia"/>
    <x v="2"/>
    <x v="1"/>
    <n v="1"/>
    <n v="128.1"/>
    <n v="0.05"/>
    <n v="121.7"/>
    <n v="60"/>
    <n v="61.7"/>
    <s v="Bank Transfer"/>
    <x v="1"/>
  </r>
  <r>
    <x v="947"/>
    <x v="181"/>
    <s v="Liam Moore"/>
    <x v="3"/>
    <s v="Oceania"/>
    <x v="6"/>
    <x v="0"/>
    <n v="4"/>
    <n v="321.25"/>
    <n v="0.05"/>
    <n v="1220.75"/>
    <n v="800"/>
    <n v="420.75"/>
    <s v="PayPal"/>
    <x v="1"/>
  </r>
  <r>
    <x v="948"/>
    <x v="62"/>
    <s v="Mia Thomas"/>
    <x v="4"/>
    <s v="Africa"/>
    <x v="1"/>
    <x v="0"/>
    <n v="1"/>
    <n v="204.25"/>
    <n v="0.15"/>
    <n v="173.61"/>
    <n v="110"/>
    <n v="63.61"/>
    <s v="Bank Transfer"/>
    <x v="1"/>
  </r>
  <r>
    <x v="949"/>
    <x v="315"/>
    <s v="Cameron Johnson"/>
    <x v="5"/>
    <s v="Europe"/>
    <x v="3"/>
    <x v="1"/>
    <n v="2"/>
    <n v="905.81"/>
    <n v="0.05"/>
    <n v="1721.04"/>
    <n v="1200"/>
    <n v="521.04"/>
    <s v="PayPal"/>
    <x v="2"/>
  </r>
  <r>
    <x v="950"/>
    <x v="1"/>
    <s v="Taylor Anderson"/>
    <x v="4"/>
    <s v="Africa"/>
    <x v="3"/>
    <x v="1"/>
    <n v="2"/>
    <n v="900.08"/>
    <n v="0.15"/>
    <n v="1530.14"/>
    <n v="1200"/>
    <n v="330.14"/>
    <s v="PayPal"/>
    <x v="1"/>
  </r>
  <r>
    <x v="951"/>
    <x v="18"/>
    <s v="Casey Walker"/>
    <x v="7"/>
    <s v="North America"/>
    <x v="3"/>
    <x v="1"/>
    <n v="6"/>
    <n v="846.81"/>
    <n v="0"/>
    <n v="5080.8599999999997"/>
    <n v="3600"/>
    <n v="1480.86"/>
    <s v="Bank Transfer"/>
    <x v="2"/>
  </r>
  <r>
    <x v="952"/>
    <x v="1"/>
    <s v="Sam Walker"/>
    <x v="6"/>
    <s v="North America"/>
    <x v="3"/>
    <x v="1"/>
    <n v="3"/>
    <n v="809.72"/>
    <n v="0.1"/>
    <n v="2186.2399999999998"/>
    <n v="1800"/>
    <n v="386.24"/>
    <s v="Bank Transfer"/>
    <x v="0"/>
  </r>
  <r>
    <x v="953"/>
    <x v="188"/>
    <s v="Avery Anderson"/>
    <x v="0"/>
    <s v="Europe"/>
    <x v="0"/>
    <x v="0"/>
    <n v="3"/>
    <n v="284.20999999999998"/>
    <n v="0.05"/>
    <n v="810"/>
    <n v="510"/>
    <n v="300"/>
    <s v="Debit Card"/>
    <x v="2"/>
  </r>
  <r>
    <x v="954"/>
    <x v="343"/>
    <s v="Drew Wilson"/>
    <x v="2"/>
    <s v="Africa"/>
    <x v="3"/>
    <x v="1"/>
    <n v="3"/>
    <n v="887.78"/>
    <n v="0"/>
    <n v="2663.34"/>
    <n v="1800"/>
    <n v="863.34"/>
    <s v="Credit Card"/>
    <x v="2"/>
  </r>
  <r>
    <x v="955"/>
    <x v="35"/>
    <s v="Alex Walker"/>
    <x v="2"/>
    <s v="Africa"/>
    <x v="1"/>
    <x v="0"/>
    <n v="2"/>
    <n v="194.77"/>
    <n v="0.05"/>
    <n v="370.06"/>
    <n v="220"/>
    <n v="150.06"/>
    <s v="Credit Card"/>
    <x v="1"/>
  </r>
  <r>
    <x v="956"/>
    <x v="302"/>
    <s v="Avery Johnson"/>
    <x v="5"/>
    <s v="Europe"/>
    <x v="4"/>
    <x v="1"/>
    <n v="3"/>
    <n v="251.08"/>
    <n v="0.05"/>
    <n v="715.58"/>
    <n v="450"/>
    <n v="265.58"/>
    <s v="Bank Transfer"/>
    <x v="1"/>
  </r>
  <r>
    <x v="957"/>
    <x v="102"/>
    <s v="Morgan Clark"/>
    <x v="6"/>
    <s v="North America"/>
    <x v="0"/>
    <x v="0"/>
    <n v="1"/>
    <n v="270.43"/>
    <n v="0.15"/>
    <n v="229.87"/>
    <n v="170"/>
    <n v="59.87"/>
    <s v="PayPal"/>
    <x v="2"/>
  </r>
  <r>
    <x v="958"/>
    <x v="344"/>
    <s v="Casey Wilson"/>
    <x v="4"/>
    <s v="Africa"/>
    <x v="7"/>
    <x v="1"/>
    <n v="5"/>
    <n v="437.84"/>
    <n v="0"/>
    <n v="2189.1999999999998"/>
    <n v="1400"/>
    <n v="789.2"/>
    <s v="Credit Card"/>
    <x v="2"/>
  </r>
  <r>
    <x v="959"/>
    <x v="24"/>
    <s v="Sophia Young"/>
    <x v="0"/>
    <s v="Europe"/>
    <x v="4"/>
    <x v="1"/>
    <n v="1"/>
    <n v="251.78"/>
    <n v="0.05"/>
    <n v="239.19"/>
    <n v="150"/>
    <n v="89.19"/>
    <s v="PayPal"/>
    <x v="1"/>
  </r>
  <r>
    <x v="960"/>
    <x v="122"/>
    <s v="Jamie Martin"/>
    <x v="3"/>
    <s v="Oceania"/>
    <x v="5"/>
    <x v="1"/>
    <n v="1"/>
    <n v="71.790000000000006"/>
    <n v="0.05"/>
    <n v="68.2"/>
    <n v="40"/>
    <n v="28.2"/>
    <s v="Credit Card"/>
    <x v="2"/>
  </r>
  <r>
    <x v="961"/>
    <x v="117"/>
    <s v="Jordan Thomas"/>
    <x v="0"/>
    <s v="Europe"/>
    <x v="2"/>
    <x v="1"/>
    <n v="1"/>
    <n v="122.85"/>
    <n v="0"/>
    <n v="122.85"/>
    <n v="60"/>
    <n v="62.85"/>
    <s v="Credit Card"/>
    <x v="1"/>
  </r>
  <r>
    <x v="962"/>
    <x v="298"/>
    <s v="Riley Moore"/>
    <x v="3"/>
    <s v="Oceania"/>
    <x v="2"/>
    <x v="1"/>
    <n v="2"/>
    <n v="116.2"/>
    <n v="0.05"/>
    <n v="220.78"/>
    <n v="120"/>
    <n v="100.78"/>
    <s v="Bank Transfer"/>
    <x v="1"/>
  </r>
  <r>
    <x v="963"/>
    <x v="324"/>
    <s v="Liam Lewis"/>
    <x v="4"/>
    <s v="Africa"/>
    <x v="0"/>
    <x v="0"/>
    <n v="2"/>
    <n v="281.98"/>
    <n v="0.1"/>
    <n v="507.56"/>
    <n v="340"/>
    <n v="167.56"/>
    <s v="Credit Card"/>
    <x v="2"/>
  </r>
  <r>
    <x v="964"/>
    <x v="162"/>
    <s v="Jordan Martin"/>
    <x v="5"/>
    <s v="Europe"/>
    <x v="1"/>
    <x v="0"/>
    <n v="2"/>
    <n v="181.65"/>
    <n v="0"/>
    <n v="363.3"/>
    <n v="220"/>
    <n v="143.30000000000001"/>
    <s v="Bank Transfer"/>
    <x v="1"/>
  </r>
  <r>
    <x v="965"/>
    <x v="16"/>
    <s v="Noah Taylor"/>
    <x v="0"/>
    <s v="Europe"/>
    <x v="3"/>
    <x v="1"/>
    <n v="5"/>
    <n v="869.94"/>
    <n v="0.05"/>
    <n v="4132.22"/>
    <n v="3000"/>
    <n v="1132.22"/>
    <s v="PayPal"/>
    <x v="2"/>
  </r>
  <r>
    <x v="966"/>
    <x v="182"/>
    <s v="Avery Smith"/>
    <x v="0"/>
    <s v="Europe"/>
    <x v="1"/>
    <x v="0"/>
    <n v="3"/>
    <n v="190.17"/>
    <n v="0"/>
    <n v="570.51"/>
    <n v="330"/>
    <n v="240.51"/>
    <s v="Debit Card"/>
    <x v="2"/>
  </r>
  <r>
    <x v="967"/>
    <x v="304"/>
    <s v="Liam Wilson"/>
    <x v="3"/>
    <s v="Oceania"/>
    <x v="4"/>
    <x v="1"/>
    <n v="2"/>
    <n v="235.77"/>
    <n v="0.1"/>
    <n v="424.39"/>
    <n v="300"/>
    <n v="124.39"/>
    <s v="Credit Card"/>
    <x v="1"/>
  </r>
  <r>
    <x v="968"/>
    <x v="34"/>
    <s v="Riley Davis"/>
    <x v="3"/>
    <s v="Oceania"/>
    <x v="6"/>
    <x v="0"/>
    <n v="5"/>
    <n v="327.99"/>
    <n v="0.05"/>
    <n v="1557.95"/>
    <n v="1000"/>
    <n v="557.95000000000005"/>
    <s v="PayPal"/>
    <x v="1"/>
  </r>
  <r>
    <x v="969"/>
    <x v="328"/>
    <s v="Alex Clark"/>
    <x v="3"/>
    <s v="Oceania"/>
    <x v="6"/>
    <x v="0"/>
    <n v="2"/>
    <n v="329.89"/>
    <n v="0.1"/>
    <n v="593.79999999999995"/>
    <n v="400"/>
    <n v="193.8"/>
    <s v="Debit Card"/>
    <x v="1"/>
  </r>
  <r>
    <x v="970"/>
    <x v="203"/>
    <s v="Jamie Anderson"/>
    <x v="7"/>
    <s v="North America"/>
    <x v="2"/>
    <x v="1"/>
    <n v="5"/>
    <n v="116.29"/>
    <n v="0"/>
    <n v="581.45000000000005"/>
    <n v="300"/>
    <n v="281.45"/>
    <s v="Bank Transfer"/>
    <x v="1"/>
  </r>
  <r>
    <x v="971"/>
    <x v="331"/>
    <s v="Casey Wilson"/>
    <x v="3"/>
    <s v="Oceania"/>
    <x v="1"/>
    <x v="0"/>
    <n v="2"/>
    <n v="188.36"/>
    <n v="0.05"/>
    <n v="357.88"/>
    <n v="220"/>
    <n v="137.88"/>
    <s v="PayPal"/>
    <x v="1"/>
  </r>
  <r>
    <x v="972"/>
    <x v="308"/>
    <s v="Ethan Smith"/>
    <x v="0"/>
    <s v="Europe"/>
    <x v="2"/>
    <x v="1"/>
    <n v="1"/>
    <n v="114.88"/>
    <n v="0"/>
    <n v="114.88"/>
    <n v="60"/>
    <n v="54.88"/>
    <s v="Debit Card"/>
    <x v="1"/>
  </r>
  <r>
    <x v="973"/>
    <x v="97"/>
    <s v="Ethan Smith"/>
    <x v="0"/>
    <s v="Europe"/>
    <x v="7"/>
    <x v="1"/>
    <n v="5"/>
    <n v="429.95"/>
    <n v="0.15"/>
    <n v="1827.29"/>
    <n v="1400"/>
    <n v="427.29"/>
    <s v="Debit Card"/>
    <x v="2"/>
  </r>
  <r>
    <x v="974"/>
    <x v="18"/>
    <s v="Morgan Moore"/>
    <x v="4"/>
    <s v="Africa"/>
    <x v="2"/>
    <x v="1"/>
    <n v="4"/>
    <n v="119.24"/>
    <n v="0.15"/>
    <n v="405.42"/>
    <n v="240"/>
    <n v="165.42"/>
    <s v="Debit Card"/>
    <x v="1"/>
  </r>
  <r>
    <x v="975"/>
    <x v="345"/>
    <s v="Casey Taylor"/>
    <x v="0"/>
    <s v="Europe"/>
    <x v="6"/>
    <x v="0"/>
    <n v="4"/>
    <n v="328"/>
    <n v="0"/>
    <n v="1312"/>
    <n v="800"/>
    <n v="512"/>
    <s v="Bank Transfer"/>
    <x v="1"/>
  </r>
  <r>
    <x v="976"/>
    <x v="122"/>
    <s v="Emma Walker"/>
    <x v="6"/>
    <s v="North America"/>
    <x v="6"/>
    <x v="0"/>
    <n v="1"/>
    <n v="314.32"/>
    <n v="0.1"/>
    <n v="282.89"/>
    <n v="200"/>
    <n v="82.89"/>
    <s v="Debit Card"/>
    <x v="0"/>
  </r>
  <r>
    <x v="977"/>
    <x v="331"/>
    <s v="Avery Young"/>
    <x v="7"/>
    <s v="North America"/>
    <x v="4"/>
    <x v="1"/>
    <n v="5"/>
    <n v="248.15"/>
    <n v="0"/>
    <n v="1240.75"/>
    <n v="750"/>
    <n v="490.75"/>
    <s v="PayPal"/>
    <x v="1"/>
  </r>
  <r>
    <x v="978"/>
    <x v="226"/>
    <s v="Sam Anderson"/>
    <x v="7"/>
    <s v="North America"/>
    <x v="7"/>
    <x v="1"/>
    <n v="2"/>
    <n v="406.45"/>
    <n v="0"/>
    <n v="812.9"/>
    <n v="560"/>
    <n v="252.9"/>
    <s v="Credit Card"/>
    <x v="1"/>
  </r>
  <r>
    <x v="979"/>
    <x v="346"/>
    <s v="Ethan Davis"/>
    <x v="0"/>
    <s v="Europe"/>
    <x v="3"/>
    <x v="1"/>
    <n v="2"/>
    <n v="828.91"/>
    <n v="0.2"/>
    <n v="1326.26"/>
    <n v="1200"/>
    <n v="126.26"/>
    <s v="Credit Card"/>
    <x v="1"/>
  </r>
  <r>
    <x v="980"/>
    <x v="5"/>
    <s v="Emma Hall"/>
    <x v="1"/>
    <s v="Asia"/>
    <x v="2"/>
    <x v="1"/>
    <n v="3"/>
    <n v="123.53"/>
    <n v="0"/>
    <n v="370.59"/>
    <n v="180"/>
    <n v="190.59"/>
    <s v="Credit Card"/>
    <x v="1"/>
  </r>
  <r>
    <x v="981"/>
    <x v="27"/>
    <s v="Taylor Young"/>
    <x v="6"/>
    <s v="North America"/>
    <x v="5"/>
    <x v="1"/>
    <n v="2"/>
    <n v="72.16"/>
    <n v="0.1"/>
    <n v="129.88999999999999"/>
    <n v="80"/>
    <n v="49.89"/>
    <s v="Debit Card"/>
    <x v="2"/>
  </r>
  <r>
    <x v="982"/>
    <x v="128"/>
    <s v="Cameron Clark"/>
    <x v="5"/>
    <s v="Europe"/>
    <x v="7"/>
    <x v="1"/>
    <n v="2"/>
    <n v="407.22"/>
    <n v="0"/>
    <n v="814.44"/>
    <n v="560"/>
    <n v="254.44"/>
    <s v="Bank Transfer"/>
    <x v="1"/>
  </r>
  <r>
    <x v="983"/>
    <x v="11"/>
    <s v="Daniel Brown"/>
    <x v="0"/>
    <s v="Europe"/>
    <x v="4"/>
    <x v="1"/>
    <n v="3"/>
    <n v="236.04"/>
    <n v="0.05"/>
    <n v="672.71"/>
    <n v="450"/>
    <n v="222.71"/>
    <s v="Debit Card"/>
    <x v="1"/>
  </r>
  <r>
    <x v="984"/>
    <x v="303"/>
    <s v="Liam Moore"/>
    <x v="3"/>
    <s v="Oceania"/>
    <x v="0"/>
    <x v="0"/>
    <n v="2"/>
    <n v="272.32"/>
    <n v="0"/>
    <n v="544.64"/>
    <n v="340"/>
    <n v="204.64"/>
    <s v="Bank Transfer"/>
    <x v="1"/>
  </r>
  <r>
    <x v="985"/>
    <x v="64"/>
    <s v="Olivia Moore"/>
    <x v="1"/>
    <s v="Asia"/>
    <x v="6"/>
    <x v="0"/>
    <n v="3"/>
    <n v="337.47"/>
    <n v="0"/>
    <n v="1012.41"/>
    <n v="600"/>
    <n v="412.41"/>
    <s v="Bank Transfer"/>
    <x v="1"/>
  </r>
  <r>
    <x v="986"/>
    <x v="64"/>
    <s v="Daniel Anderson"/>
    <x v="4"/>
    <s v="Africa"/>
    <x v="5"/>
    <x v="1"/>
    <n v="1"/>
    <n v="80.73"/>
    <n v="0"/>
    <n v="80.73"/>
    <n v="40"/>
    <n v="40.729999999999997"/>
    <s v="PayPal"/>
    <x v="1"/>
  </r>
  <r>
    <x v="987"/>
    <x v="21"/>
    <s v="Morgan Wilson"/>
    <x v="7"/>
    <s v="North America"/>
    <x v="2"/>
    <x v="1"/>
    <n v="3"/>
    <n v="115.48"/>
    <n v="0"/>
    <n v="346.44"/>
    <n v="180"/>
    <n v="166.44"/>
    <s v="Credit Card"/>
    <x v="0"/>
  </r>
  <r>
    <x v="988"/>
    <x v="297"/>
    <s v="Jamie Young"/>
    <x v="2"/>
    <s v="Africa"/>
    <x v="3"/>
    <x v="1"/>
    <n v="1"/>
    <n v="872.17"/>
    <n v="0.05"/>
    <n v="828.56"/>
    <n v="600"/>
    <n v="228.56"/>
    <s v="Debit Card"/>
    <x v="1"/>
  </r>
  <r>
    <x v="989"/>
    <x v="109"/>
    <s v="Mia Hall"/>
    <x v="2"/>
    <s v="Africa"/>
    <x v="3"/>
    <x v="1"/>
    <n v="1"/>
    <n v="907.43"/>
    <n v="0"/>
    <n v="907.43"/>
    <n v="600"/>
    <n v="307.43"/>
    <s v="PayPal"/>
    <x v="2"/>
  </r>
  <r>
    <x v="990"/>
    <x v="301"/>
    <s v="Jamie Brown"/>
    <x v="7"/>
    <s v="North America"/>
    <x v="5"/>
    <x v="1"/>
    <n v="1"/>
    <n v="78.010000000000005"/>
    <n v="0"/>
    <n v="78.010000000000005"/>
    <n v="40"/>
    <n v="38.01"/>
    <s v="Bank Transfer"/>
    <x v="0"/>
  </r>
  <r>
    <x v="991"/>
    <x v="85"/>
    <s v="Daniel Anderson"/>
    <x v="0"/>
    <s v="Europe"/>
    <x v="4"/>
    <x v="1"/>
    <n v="1"/>
    <n v="255.42"/>
    <n v="0"/>
    <n v="255.42"/>
    <n v="150"/>
    <n v="105.42"/>
    <s v="Debit Card"/>
    <x v="2"/>
  </r>
  <r>
    <x v="992"/>
    <x v="256"/>
    <s v="Casey Clark"/>
    <x v="3"/>
    <s v="Oceania"/>
    <x v="0"/>
    <x v="0"/>
    <n v="3"/>
    <n v="294.70999999999998"/>
    <n v="0.05"/>
    <n v="839.92"/>
    <n v="510"/>
    <n v="329.92"/>
    <s v="Credit Card"/>
    <x v="1"/>
  </r>
  <r>
    <x v="993"/>
    <x v="315"/>
    <s v="Cameron Martin"/>
    <x v="5"/>
    <s v="Europe"/>
    <x v="7"/>
    <x v="1"/>
    <n v="2"/>
    <n v="449.33"/>
    <n v="0"/>
    <n v="898.66"/>
    <n v="560"/>
    <n v="338.66"/>
    <s v="Credit Card"/>
    <x v="0"/>
  </r>
  <r>
    <x v="994"/>
    <x v="314"/>
    <s v="Drew Walker"/>
    <x v="4"/>
    <s v="Africa"/>
    <x v="2"/>
    <x v="1"/>
    <n v="3"/>
    <n v="120.84"/>
    <n v="0"/>
    <n v="362.52"/>
    <n v="180"/>
    <n v="182.52"/>
    <s v="Bank Transfer"/>
    <x v="1"/>
  </r>
  <r>
    <x v="995"/>
    <x v="5"/>
    <s v="Jordan Johnson"/>
    <x v="4"/>
    <s v="Africa"/>
    <x v="4"/>
    <x v="1"/>
    <n v="3"/>
    <n v="236.55"/>
    <n v="0"/>
    <n v="709.65"/>
    <n v="450"/>
    <n v="259.64999999999998"/>
    <s v="Credit Card"/>
    <x v="1"/>
  </r>
  <r>
    <x v="996"/>
    <x v="181"/>
    <s v="Ethan Martin"/>
    <x v="5"/>
    <s v="Europe"/>
    <x v="5"/>
    <x v="1"/>
    <n v="2"/>
    <n v="78.42"/>
    <n v="0.1"/>
    <n v="141.16"/>
    <n v="80"/>
    <n v="61.16"/>
    <s v="Credit Card"/>
    <x v="0"/>
  </r>
  <r>
    <x v="997"/>
    <x v="283"/>
    <s v="Jordan Moore"/>
    <x v="3"/>
    <s v="Oceania"/>
    <x v="1"/>
    <x v="0"/>
    <n v="1"/>
    <n v="182.78"/>
    <n v="0.1"/>
    <n v="164.5"/>
    <n v="110"/>
    <n v="54.5"/>
    <s v="Bank Transfer"/>
    <x v="0"/>
  </r>
  <r>
    <x v="998"/>
    <x v="84"/>
    <s v="Drew Lewis"/>
    <x v="5"/>
    <s v="Europe"/>
    <x v="5"/>
    <x v="1"/>
    <n v="3"/>
    <n v="75.86"/>
    <n v="0.1"/>
    <n v="204.82"/>
    <n v="120"/>
    <n v="84.82"/>
    <s v="PayPal"/>
    <x v="1"/>
  </r>
  <r>
    <x v="999"/>
    <x v="302"/>
    <s v="Jordan Wilson"/>
    <x v="1"/>
    <s v="Asia"/>
    <x v="5"/>
    <x v="1"/>
    <n v="3"/>
    <n v="78.52"/>
    <n v="0.05"/>
    <n v="223.78"/>
    <n v="120"/>
    <n v="103.78"/>
    <s v="Credit Car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6" firstHeaderRow="0" firstDataRow="1" firstDataCol="1"/>
  <pivotFields count="1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9">
        <item x="3"/>
        <item x="7"/>
        <item x="0"/>
        <item x="1"/>
        <item x="2"/>
        <item x="4"/>
        <item x="5"/>
        <item x="6"/>
        <item t="default"/>
      </items>
    </pivotField>
    <pivotField showAll="0"/>
    <pivotField showAll="0"/>
    <pivotField showAll="0">
      <items count="3">
        <item x="1"/>
        <item x="0"/>
        <item t="default"/>
      </items>
    </pivotField>
    <pivotField showAll="0"/>
    <pivotField showAll="0"/>
    <pivotField showAll="0"/>
    <pivotField dataField="1" showAll="0"/>
    <pivotField showAll="0"/>
    <pivotField dataField="1" showAll="0"/>
    <pivotField showAll="0"/>
    <pivotField showAll="0">
      <items count="4">
        <item x="0"/>
        <item x="1"/>
        <item x="2"/>
        <item t="default"/>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0" baseField="0" baseItem="0"/>
    <dataField name="Sum of Profit" fld="12" baseField="0" baseItem="0"/>
  </dataFields>
  <chartFormats count="2">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2" firstHeaderRow="1" firstDataRow="1" firstDataCol="1"/>
  <pivotFields count="15">
    <pivotField showAll="0"/>
    <pivotField numFmtId="14" showAll="0"/>
    <pivotField showAll="0"/>
    <pivotField showAll="0">
      <items count="9">
        <item x="3"/>
        <item x="7"/>
        <item x="0"/>
        <item x="1"/>
        <item x="2"/>
        <item x="4"/>
        <item x="5"/>
        <item x="6"/>
        <item t="default"/>
      </items>
    </pivotField>
    <pivotField showAll="0"/>
    <pivotField axis="axisRow" showAll="0">
      <items count="9">
        <item x="1"/>
        <item x="6"/>
        <item x="2"/>
        <item x="5"/>
        <item x="3"/>
        <item x="7"/>
        <item x="0"/>
        <item x="4"/>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items count="4">
        <item x="0"/>
        <item x="1"/>
        <item x="2"/>
        <item t="default"/>
      </items>
    </pivotField>
  </pivotFields>
  <rowFields count="1">
    <field x="5"/>
  </rowFields>
  <rowItems count="9">
    <i>
      <x/>
    </i>
    <i>
      <x v="1"/>
    </i>
    <i>
      <x v="2"/>
    </i>
    <i>
      <x v="3"/>
    </i>
    <i>
      <x v="4"/>
    </i>
    <i>
      <x v="5"/>
    </i>
    <i>
      <x v="6"/>
    </i>
    <i>
      <x v="7"/>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2" firstHeaderRow="1" firstDataRow="1" firstDataCol="1"/>
  <pivotFields count="15">
    <pivotField showAll="0"/>
    <pivotField numFmtId="14" showAll="0"/>
    <pivotField showAll="0"/>
    <pivotField axis="axisRow" showAll="0">
      <items count="9">
        <item x="3"/>
        <item x="7"/>
        <item x="0"/>
        <item x="1"/>
        <item x="2"/>
        <item x="4"/>
        <item x="5"/>
        <item x="6"/>
        <item t="default"/>
      </items>
    </pivotField>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s>
  <rowFields count="1">
    <field x="3"/>
  </rowFields>
  <rowItems count="9">
    <i>
      <x/>
    </i>
    <i>
      <x v="1"/>
    </i>
    <i>
      <x v="2"/>
    </i>
    <i>
      <x v="3"/>
    </i>
    <i>
      <x v="4"/>
    </i>
    <i>
      <x v="5"/>
    </i>
    <i>
      <x v="6"/>
    </i>
    <i>
      <x v="7"/>
    </i>
    <i t="grand">
      <x/>
    </i>
  </rowItems>
  <colItems count="1">
    <i/>
  </colItems>
  <dataFields count="1">
    <dataField name="Sum of Profit"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5">
    <pivotField showAll="0"/>
    <pivotField numFmtId="14" showAll="0"/>
    <pivotField showAll="0"/>
    <pivotField showAll="0">
      <items count="9">
        <item x="3"/>
        <item x="7"/>
        <item x="0"/>
        <item x="1"/>
        <item x="2"/>
        <item x="4"/>
        <item x="5"/>
        <item x="6"/>
        <item t="default"/>
      </items>
    </pivotField>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axis="axisRow" showAll="0">
      <items count="4">
        <item x="0"/>
        <item x="1"/>
        <item x="2"/>
        <item t="default"/>
      </items>
    </pivotField>
  </pivotFields>
  <rowFields count="1">
    <field x="14"/>
  </rowFields>
  <rowItems count="4">
    <i>
      <x/>
    </i>
    <i>
      <x v="1"/>
    </i>
    <i>
      <x v="2"/>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2" firstHeaderRow="1" firstDataRow="1" firstDataCol="1"/>
  <pivotFields count="15">
    <pivotField showAll="0"/>
    <pivotField numFmtId="14" showAll="0"/>
    <pivotField showAll="0"/>
    <pivotField showAll="0">
      <items count="9">
        <item x="3"/>
        <item x="7"/>
        <item x="0"/>
        <item x="1"/>
        <item x="2"/>
        <item x="4"/>
        <item x="5"/>
        <item x="6"/>
        <item t="default"/>
      </items>
    </pivotField>
    <pivotField showAll="0"/>
    <pivotField axis="axisRow" showAll="0">
      <items count="9">
        <item x="1"/>
        <item x="6"/>
        <item x="2"/>
        <item x="5"/>
        <item x="3"/>
        <item x="7"/>
        <item x="0"/>
        <item x="4"/>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items count="4">
        <item x="0"/>
        <item x="1"/>
        <item x="2"/>
        <item t="default"/>
      </items>
    </pivotField>
  </pivotFields>
  <rowFields count="1">
    <field x="5"/>
  </rowFields>
  <rowItems count="9">
    <i>
      <x/>
    </i>
    <i>
      <x v="1"/>
    </i>
    <i>
      <x v="2"/>
    </i>
    <i>
      <x v="3"/>
    </i>
    <i>
      <x v="4"/>
    </i>
    <i>
      <x v="5"/>
    </i>
    <i>
      <x v="6"/>
    </i>
    <i>
      <x v="7"/>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3" name="PivotTable1"/>
    <pivotTable tabId="4" name="PivotTable2"/>
    <pivotTable tabId="5" name="PivotTable3"/>
    <pivotTable tabId="6" name="PivotTable4"/>
    <pivotTable tabId="7" name="PivotTable5"/>
  </pivotTables>
  <data>
    <tabular pivotCacheId="1">
      <items count="8">
        <i x="3" s="1"/>
        <i x="7" s="1"/>
        <i x="0" s="1"/>
        <i x="1" s="1"/>
        <i x="2"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000000-0013-0000-FFFF-FFFF02000000}" sourceName="Sales Channel">
  <pivotTables>
    <pivotTable tabId="6" name="PivotTable4"/>
    <pivotTable tabId="3" name="PivotTable1"/>
    <pivotTable tabId="4" name="PivotTable2"/>
    <pivotTable tabId="5" name="PivotTable3"/>
    <pivotTable tabId="7" name="PivotTable5"/>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5" name="PivotTable3"/>
    <pivotTable tabId="3" name="PivotTable1"/>
    <pivotTable tabId="4" name="PivotTable2"/>
    <pivotTable tabId="6" name="PivotTable4"/>
    <pivotTable tabId="7" name="PivotTable5"/>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1000000}" cache="Slicer_Country" caption="Country" rowHeight="241300"/>
  <slicer name="Sales Channel" xr10:uid="{00000000-0014-0000-FFFF-FFFF02000000}" cache="Slicer_Sales_Channel" caption="Sales Channel" rowHeight="241300"/>
  <slicer name="Category" xr10:uid="{00000000-0014-0000-FFFF-FFFF03000000}"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01" totalsRowShown="0">
  <autoFilter ref="A1:O1001" xr:uid="{00000000-0009-0000-0100-000001000000}"/>
  <tableColumns count="15">
    <tableColumn id="1" xr3:uid="{00000000-0010-0000-0000-000001000000}" name="Order ID"/>
    <tableColumn id="2" xr3:uid="{00000000-0010-0000-0000-000002000000}" name="Order Date" dataDxfId="0"/>
    <tableColumn id="3" xr3:uid="{00000000-0010-0000-0000-000003000000}" name="Customer"/>
    <tableColumn id="4" xr3:uid="{00000000-0010-0000-0000-000004000000}" name="Country"/>
    <tableColumn id="5" xr3:uid="{00000000-0010-0000-0000-000005000000}" name="Region"/>
    <tableColumn id="6" xr3:uid="{00000000-0010-0000-0000-000006000000}" name="Product"/>
    <tableColumn id="7" xr3:uid="{00000000-0010-0000-0000-000007000000}" name="Category"/>
    <tableColumn id="8" xr3:uid="{00000000-0010-0000-0000-000008000000}" name="Quantity"/>
    <tableColumn id="9" xr3:uid="{00000000-0010-0000-0000-000009000000}" name="Unit Price"/>
    <tableColumn id="10" xr3:uid="{00000000-0010-0000-0000-00000A000000}" name="Discount"/>
    <tableColumn id="11" xr3:uid="{00000000-0010-0000-0000-00000B000000}" name="Sales"/>
    <tableColumn id="12" xr3:uid="{00000000-0010-0000-0000-00000C000000}" name="Cost"/>
    <tableColumn id="13" xr3:uid="{00000000-0010-0000-0000-00000D000000}" name="Profit"/>
    <tableColumn id="14" xr3:uid="{00000000-0010-0000-0000-00000E000000}" name="Payment Method"/>
    <tableColumn id="15" xr3:uid="{00000000-0010-0000-0000-00000F000000}" name="Sales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16"/>
  <sheetViews>
    <sheetView workbookViewId="0">
      <selection activeCell="A4" sqref="A4"/>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2" t="s">
        <v>1338</v>
      </c>
      <c r="B3" t="s">
        <v>1340</v>
      </c>
      <c r="C3" t="s">
        <v>1341</v>
      </c>
    </row>
    <row r="4" spans="1:3" x14ac:dyDescent="0.35">
      <c r="A4" s="5" t="s">
        <v>1342</v>
      </c>
      <c r="B4" s="4">
        <v>59521.829999999958</v>
      </c>
      <c r="C4" s="4">
        <v>20121.830000000002</v>
      </c>
    </row>
    <row r="5" spans="1:3" x14ac:dyDescent="0.35">
      <c r="A5" s="5" t="s">
        <v>1343</v>
      </c>
      <c r="B5" s="4">
        <v>61383.780000000021</v>
      </c>
      <c r="C5" s="4">
        <v>19783.78</v>
      </c>
    </row>
    <row r="6" spans="1:3" x14ac:dyDescent="0.35">
      <c r="A6" s="5" t="s">
        <v>1344</v>
      </c>
      <c r="B6" s="4">
        <v>65402.350000000006</v>
      </c>
      <c r="C6" s="4">
        <v>22272.350000000002</v>
      </c>
    </row>
    <row r="7" spans="1:3" x14ac:dyDescent="0.35">
      <c r="A7" s="5" t="s">
        <v>1345</v>
      </c>
      <c r="B7" s="4">
        <v>66564.549999999988</v>
      </c>
      <c r="C7" s="4">
        <v>21874.55</v>
      </c>
    </row>
    <row r="8" spans="1:3" x14ac:dyDescent="0.35">
      <c r="A8" s="5" t="s">
        <v>1346</v>
      </c>
      <c r="B8" s="4">
        <v>60694.749999999978</v>
      </c>
      <c r="C8" s="4">
        <v>19724.75</v>
      </c>
    </row>
    <row r="9" spans="1:3" x14ac:dyDescent="0.35">
      <c r="A9" s="5" t="s">
        <v>1347</v>
      </c>
      <c r="B9" s="4">
        <v>60831.640000000014</v>
      </c>
      <c r="C9" s="4">
        <v>19681.639999999992</v>
      </c>
    </row>
    <row r="10" spans="1:3" x14ac:dyDescent="0.35">
      <c r="A10" s="5" t="s">
        <v>1348</v>
      </c>
      <c r="B10" s="4">
        <v>78822.480000000025</v>
      </c>
      <c r="C10" s="4">
        <v>24322.479999999985</v>
      </c>
    </row>
    <row r="11" spans="1:3" x14ac:dyDescent="0.35">
      <c r="A11" s="5" t="s">
        <v>1349</v>
      </c>
      <c r="B11" s="4">
        <v>73346.320000000007</v>
      </c>
      <c r="C11" s="4">
        <v>24196.319999999996</v>
      </c>
    </row>
    <row r="12" spans="1:3" x14ac:dyDescent="0.35">
      <c r="A12" s="5" t="s">
        <v>1350</v>
      </c>
      <c r="B12" s="4">
        <v>74250.369999999952</v>
      </c>
      <c r="C12" s="4">
        <v>24110.369999999992</v>
      </c>
    </row>
    <row r="13" spans="1:3" x14ac:dyDescent="0.35">
      <c r="A13" s="5" t="s">
        <v>1351</v>
      </c>
      <c r="B13" s="4">
        <v>57784.950000000033</v>
      </c>
      <c r="C13" s="4">
        <v>18774.94999999999</v>
      </c>
    </row>
    <row r="14" spans="1:3" x14ac:dyDescent="0.35">
      <c r="A14" s="5" t="s">
        <v>1352</v>
      </c>
      <c r="B14" s="4">
        <v>65281.649999999965</v>
      </c>
      <c r="C14" s="4">
        <v>21251.650000000005</v>
      </c>
    </row>
    <row r="15" spans="1:3" x14ac:dyDescent="0.35">
      <c r="A15" s="5" t="s">
        <v>1353</v>
      </c>
      <c r="B15" s="4">
        <v>51847.540000000008</v>
      </c>
      <c r="C15" s="4">
        <v>16927.539999999997</v>
      </c>
    </row>
    <row r="16" spans="1:3" x14ac:dyDescent="0.35">
      <c r="A16" s="5" t="s">
        <v>1339</v>
      </c>
      <c r="B16" s="4">
        <v>775732.21</v>
      </c>
      <c r="C16" s="4">
        <v>253042.20999999996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2"/>
  <sheetViews>
    <sheetView workbookViewId="0">
      <selection activeCell="A4" sqref="A4"/>
    </sheetView>
  </sheetViews>
  <sheetFormatPr defaultRowHeight="14.5" x14ac:dyDescent="0.35"/>
  <cols>
    <col min="1" max="1" width="12.36328125" bestFit="1" customWidth="1"/>
    <col min="2" max="2" width="11.26953125" bestFit="1" customWidth="1"/>
  </cols>
  <sheetData>
    <row r="3" spans="1:2" x14ac:dyDescent="0.35">
      <c r="A3" s="2" t="s">
        <v>1338</v>
      </c>
      <c r="B3" t="s">
        <v>1340</v>
      </c>
    </row>
    <row r="4" spans="1:2" x14ac:dyDescent="0.35">
      <c r="A4" s="3" t="s">
        <v>27</v>
      </c>
      <c r="B4" s="4">
        <v>55402.790000000015</v>
      </c>
    </row>
    <row r="5" spans="1:2" x14ac:dyDescent="0.35">
      <c r="A5" s="3" t="s">
        <v>78</v>
      </c>
      <c r="B5" s="4">
        <v>100560.68000000001</v>
      </c>
    </row>
    <row r="6" spans="1:2" x14ac:dyDescent="0.35">
      <c r="A6" s="3" t="s">
        <v>36</v>
      </c>
      <c r="B6" s="4">
        <v>39634.289999999972</v>
      </c>
    </row>
    <row r="7" spans="1:2" x14ac:dyDescent="0.35">
      <c r="A7" s="3" t="s">
        <v>67</v>
      </c>
      <c r="B7" s="4">
        <v>22978.359999999997</v>
      </c>
    </row>
    <row r="8" spans="1:2" x14ac:dyDescent="0.35">
      <c r="A8" s="3" t="s">
        <v>41</v>
      </c>
      <c r="B8" s="4">
        <v>291564.67999999993</v>
      </c>
    </row>
    <row r="9" spans="1:2" x14ac:dyDescent="0.35">
      <c r="A9" s="3" t="s">
        <v>108</v>
      </c>
      <c r="B9" s="4">
        <v>120323.42</v>
      </c>
    </row>
    <row r="10" spans="1:2" x14ac:dyDescent="0.35">
      <c r="A10" s="3" t="s">
        <v>19</v>
      </c>
      <c r="B10" s="4">
        <v>74764.629999999961</v>
      </c>
    </row>
    <row r="11" spans="1:2" x14ac:dyDescent="0.35">
      <c r="A11" s="3" t="s">
        <v>51</v>
      </c>
      <c r="B11" s="4">
        <v>70503.359999999986</v>
      </c>
    </row>
    <row r="12" spans="1:2" x14ac:dyDescent="0.35">
      <c r="A12" s="3" t="s">
        <v>1339</v>
      </c>
      <c r="B12" s="4">
        <v>775732.21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2"/>
  <sheetViews>
    <sheetView workbookViewId="0">
      <selection activeCell="L7" sqref="L7"/>
    </sheetView>
  </sheetViews>
  <sheetFormatPr defaultRowHeight="14.5" x14ac:dyDescent="0.35"/>
  <cols>
    <col min="1" max="1" width="12.36328125" bestFit="1" customWidth="1"/>
    <col min="2" max="2" width="11.81640625" bestFit="1" customWidth="1"/>
  </cols>
  <sheetData>
    <row r="3" spans="1:2" x14ac:dyDescent="0.35">
      <c r="A3" s="2" t="s">
        <v>1338</v>
      </c>
      <c r="B3" t="s">
        <v>1341</v>
      </c>
    </row>
    <row r="4" spans="1:2" x14ac:dyDescent="0.35">
      <c r="A4" s="3" t="s">
        <v>45</v>
      </c>
      <c r="B4" s="4">
        <v>31364.87999999999</v>
      </c>
    </row>
    <row r="5" spans="1:2" x14ac:dyDescent="0.35">
      <c r="A5" s="3" t="s">
        <v>66</v>
      </c>
      <c r="B5" s="4">
        <v>33516.149999999994</v>
      </c>
    </row>
    <row r="6" spans="1:2" x14ac:dyDescent="0.35">
      <c r="A6" s="3" t="s">
        <v>17</v>
      </c>
      <c r="B6" s="4">
        <v>31180.719999999994</v>
      </c>
    </row>
    <row r="7" spans="1:2" x14ac:dyDescent="0.35">
      <c r="A7" s="3" t="s">
        <v>25</v>
      </c>
      <c r="B7" s="4">
        <v>26281.919999999998</v>
      </c>
    </row>
    <row r="8" spans="1:2" x14ac:dyDescent="0.35">
      <c r="A8" s="3" t="s">
        <v>31</v>
      </c>
      <c r="B8" s="4">
        <v>27655.229999999996</v>
      </c>
    </row>
    <row r="9" spans="1:2" x14ac:dyDescent="0.35">
      <c r="A9" s="3" t="s">
        <v>50</v>
      </c>
      <c r="B9" s="4">
        <v>35067.509999999995</v>
      </c>
    </row>
    <row r="10" spans="1:2" x14ac:dyDescent="0.35">
      <c r="A10" s="3" t="s">
        <v>58</v>
      </c>
      <c r="B10" s="4">
        <v>31286.229999999989</v>
      </c>
    </row>
    <row r="11" spans="1:2" x14ac:dyDescent="0.35">
      <c r="A11" s="3" t="s">
        <v>60</v>
      </c>
      <c r="B11" s="4">
        <v>36689.57</v>
      </c>
    </row>
    <row r="12" spans="1:2" x14ac:dyDescent="0.35">
      <c r="A12" s="3" t="s">
        <v>1339</v>
      </c>
      <c r="B12" s="4">
        <v>253042.20999999996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A4" sqref="A4"/>
    </sheetView>
  </sheetViews>
  <sheetFormatPr defaultRowHeight="14.5" x14ac:dyDescent="0.35"/>
  <cols>
    <col min="1" max="1" width="12.36328125" bestFit="1" customWidth="1"/>
    <col min="2" max="2" width="11.26953125" bestFit="1" customWidth="1"/>
  </cols>
  <sheetData>
    <row r="3" spans="1:2" x14ac:dyDescent="0.35">
      <c r="A3" s="2" t="s">
        <v>1338</v>
      </c>
      <c r="B3" t="s">
        <v>1340</v>
      </c>
    </row>
    <row r="4" spans="1:2" x14ac:dyDescent="0.35">
      <c r="A4" s="3" t="s">
        <v>22</v>
      </c>
      <c r="B4" s="4">
        <v>132631.97000000006</v>
      </c>
    </row>
    <row r="5" spans="1:2" x14ac:dyDescent="0.35">
      <c r="A5" s="3" t="s">
        <v>28</v>
      </c>
      <c r="B5" s="4">
        <v>419047.94000000018</v>
      </c>
    </row>
    <row r="6" spans="1:2" x14ac:dyDescent="0.35">
      <c r="A6" s="3" t="s">
        <v>42</v>
      </c>
      <c r="B6" s="4">
        <v>224052.30000000028</v>
      </c>
    </row>
    <row r="7" spans="1:2" x14ac:dyDescent="0.35">
      <c r="A7" s="3" t="s">
        <v>1339</v>
      </c>
      <c r="B7" s="4">
        <v>775732.21000000054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2"/>
  <sheetViews>
    <sheetView workbookViewId="0">
      <selection activeCell="A4" sqref="A4"/>
    </sheetView>
  </sheetViews>
  <sheetFormatPr defaultRowHeight="14.5" x14ac:dyDescent="0.35"/>
  <cols>
    <col min="1" max="1" width="12.36328125" bestFit="1" customWidth="1"/>
    <col min="2" max="2" width="11.26953125" bestFit="1" customWidth="1"/>
  </cols>
  <sheetData>
    <row r="3" spans="1:2" x14ac:dyDescent="0.35">
      <c r="A3" s="2" t="s">
        <v>1338</v>
      </c>
      <c r="B3" t="s">
        <v>1340</v>
      </c>
    </row>
    <row r="4" spans="1:2" x14ac:dyDescent="0.35">
      <c r="A4" s="3" t="s">
        <v>27</v>
      </c>
      <c r="B4" s="4">
        <v>55402.790000000015</v>
      </c>
    </row>
    <row r="5" spans="1:2" x14ac:dyDescent="0.35">
      <c r="A5" s="3" t="s">
        <v>78</v>
      </c>
      <c r="B5" s="4">
        <v>100560.68000000001</v>
      </c>
    </row>
    <row r="6" spans="1:2" x14ac:dyDescent="0.35">
      <c r="A6" s="3" t="s">
        <v>36</v>
      </c>
      <c r="B6" s="4">
        <v>39634.289999999972</v>
      </c>
    </row>
    <row r="7" spans="1:2" x14ac:dyDescent="0.35">
      <c r="A7" s="3" t="s">
        <v>67</v>
      </c>
      <c r="B7" s="4">
        <v>22978.359999999997</v>
      </c>
    </row>
    <row r="8" spans="1:2" x14ac:dyDescent="0.35">
      <c r="A8" s="3" t="s">
        <v>41</v>
      </c>
      <c r="B8" s="4">
        <v>291564.67999999993</v>
      </c>
    </row>
    <row r="9" spans="1:2" x14ac:dyDescent="0.35">
      <c r="A9" s="3" t="s">
        <v>108</v>
      </c>
      <c r="B9" s="4">
        <v>120323.42</v>
      </c>
    </row>
    <row r="10" spans="1:2" x14ac:dyDescent="0.35">
      <c r="A10" s="3" t="s">
        <v>19</v>
      </c>
      <c r="B10" s="4">
        <v>74764.629999999961</v>
      </c>
    </row>
    <row r="11" spans="1:2" x14ac:dyDescent="0.35">
      <c r="A11" s="3" t="s">
        <v>51</v>
      </c>
      <c r="B11" s="4">
        <v>70503.359999999986</v>
      </c>
    </row>
    <row r="12" spans="1:2" x14ac:dyDescent="0.35">
      <c r="A12" s="3" t="s">
        <v>1339</v>
      </c>
      <c r="B12" s="4">
        <v>775732.21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01"/>
  <sheetViews>
    <sheetView topLeftCell="A2" workbookViewId="0">
      <selection activeCell="A2" sqref="A2:O1001"/>
    </sheetView>
  </sheetViews>
  <sheetFormatPr defaultRowHeight="14.5" x14ac:dyDescent="0.35"/>
  <cols>
    <col min="1" max="1" width="10" customWidth="1"/>
    <col min="2" max="2" width="12.1796875" customWidth="1"/>
    <col min="3" max="3" width="11" customWidth="1"/>
    <col min="4" max="4" width="9.54296875" customWidth="1"/>
    <col min="6" max="6" width="9.453125" customWidth="1"/>
    <col min="7" max="7" width="10.26953125" customWidth="1"/>
    <col min="8" max="8" width="10.1796875" customWidth="1"/>
    <col min="9" max="9" width="10.90625" customWidth="1"/>
    <col min="10" max="10" width="10.1796875" customWidth="1"/>
    <col min="14" max="14" width="17.453125" customWidth="1"/>
    <col min="15" max="15" width="14.2695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45760</v>
      </c>
      <c r="C2" t="s">
        <v>16</v>
      </c>
      <c r="D2" t="s">
        <v>17</v>
      </c>
      <c r="E2" t="s">
        <v>18</v>
      </c>
      <c r="F2" t="s">
        <v>19</v>
      </c>
      <c r="G2" t="s">
        <v>20</v>
      </c>
      <c r="H2">
        <v>1</v>
      </c>
      <c r="I2">
        <v>282.58999999999997</v>
      </c>
      <c r="J2">
        <v>0.1</v>
      </c>
      <c r="K2">
        <v>254.33</v>
      </c>
      <c r="L2">
        <v>170</v>
      </c>
      <c r="M2">
        <v>84.33</v>
      </c>
      <c r="N2" t="s">
        <v>21</v>
      </c>
      <c r="O2" t="s">
        <v>22</v>
      </c>
    </row>
    <row r="3" spans="1:15" x14ac:dyDescent="0.35">
      <c r="A3" t="s">
        <v>23</v>
      </c>
      <c r="B3" s="1">
        <v>45757</v>
      </c>
      <c r="C3" t="s">
        <v>24</v>
      </c>
      <c r="D3" t="s">
        <v>25</v>
      </c>
      <c r="E3" t="s">
        <v>26</v>
      </c>
      <c r="F3" t="s">
        <v>27</v>
      </c>
      <c r="G3" t="s">
        <v>20</v>
      </c>
      <c r="H3">
        <v>3</v>
      </c>
      <c r="I3">
        <v>198.33</v>
      </c>
      <c r="J3">
        <v>0</v>
      </c>
      <c r="K3">
        <v>594.99</v>
      </c>
      <c r="L3">
        <v>330</v>
      </c>
      <c r="M3">
        <v>264.99</v>
      </c>
      <c r="N3" t="s">
        <v>21</v>
      </c>
      <c r="O3" t="s">
        <v>28</v>
      </c>
    </row>
    <row r="4" spans="1:15" x14ac:dyDescent="0.35">
      <c r="A4" t="s">
        <v>29</v>
      </c>
      <c r="B4" s="1">
        <v>45971</v>
      </c>
      <c r="C4" t="s">
        <v>30</v>
      </c>
      <c r="D4" t="s">
        <v>31</v>
      </c>
      <c r="E4" t="s">
        <v>32</v>
      </c>
      <c r="F4" t="s">
        <v>19</v>
      </c>
      <c r="G4" t="s">
        <v>20</v>
      </c>
      <c r="H4">
        <v>2</v>
      </c>
      <c r="I4">
        <v>283.12</v>
      </c>
      <c r="J4">
        <v>0</v>
      </c>
      <c r="K4">
        <v>566.24</v>
      </c>
      <c r="L4">
        <v>340</v>
      </c>
      <c r="M4">
        <v>226.24</v>
      </c>
      <c r="N4" t="s">
        <v>33</v>
      </c>
      <c r="O4" t="s">
        <v>28</v>
      </c>
    </row>
    <row r="5" spans="1:15" x14ac:dyDescent="0.35">
      <c r="A5" t="s">
        <v>34</v>
      </c>
      <c r="B5" s="1">
        <v>45832</v>
      </c>
      <c r="C5" t="s">
        <v>35</v>
      </c>
      <c r="D5" t="s">
        <v>31</v>
      </c>
      <c r="E5" t="s">
        <v>32</v>
      </c>
      <c r="F5" t="s">
        <v>36</v>
      </c>
      <c r="G5" t="s">
        <v>37</v>
      </c>
      <c r="H5">
        <v>2</v>
      </c>
      <c r="I5">
        <v>121.28</v>
      </c>
      <c r="J5">
        <v>0.2</v>
      </c>
      <c r="K5">
        <v>194.05</v>
      </c>
      <c r="L5">
        <v>120</v>
      </c>
      <c r="M5">
        <v>74.05</v>
      </c>
      <c r="N5" t="s">
        <v>38</v>
      </c>
      <c r="O5" t="s">
        <v>28</v>
      </c>
    </row>
    <row r="6" spans="1:15" x14ac:dyDescent="0.35">
      <c r="A6" t="s">
        <v>39</v>
      </c>
      <c r="B6" s="1">
        <v>45931</v>
      </c>
      <c r="C6" t="s">
        <v>40</v>
      </c>
      <c r="D6" t="s">
        <v>17</v>
      </c>
      <c r="E6" t="s">
        <v>18</v>
      </c>
      <c r="F6" t="s">
        <v>41</v>
      </c>
      <c r="G6" t="s">
        <v>37</v>
      </c>
      <c r="H6">
        <v>6</v>
      </c>
      <c r="I6">
        <v>841.16</v>
      </c>
      <c r="J6">
        <v>0.1</v>
      </c>
      <c r="K6">
        <v>4542.26</v>
      </c>
      <c r="L6">
        <v>3600</v>
      </c>
      <c r="M6">
        <v>942.26</v>
      </c>
      <c r="N6" t="s">
        <v>21</v>
      </c>
      <c r="O6" t="s">
        <v>42</v>
      </c>
    </row>
    <row r="7" spans="1:15" x14ac:dyDescent="0.35">
      <c r="A7" t="s">
        <v>43</v>
      </c>
      <c r="B7" s="1">
        <v>45921</v>
      </c>
      <c r="C7" t="s">
        <v>44</v>
      </c>
      <c r="D7" t="s">
        <v>45</v>
      </c>
      <c r="E7" t="s">
        <v>46</v>
      </c>
      <c r="F7" t="s">
        <v>36</v>
      </c>
      <c r="G7" t="s">
        <v>37</v>
      </c>
      <c r="H7">
        <v>5</v>
      </c>
      <c r="I7">
        <v>124.34</v>
      </c>
      <c r="J7">
        <v>0</v>
      </c>
      <c r="K7">
        <v>621.70000000000005</v>
      </c>
      <c r="L7">
        <v>300</v>
      </c>
      <c r="M7">
        <v>321.7</v>
      </c>
      <c r="N7" t="s">
        <v>47</v>
      </c>
      <c r="O7" t="s">
        <v>28</v>
      </c>
    </row>
    <row r="8" spans="1:15" x14ac:dyDescent="0.35">
      <c r="A8" t="s">
        <v>48</v>
      </c>
      <c r="B8" s="1">
        <v>45967</v>
      </c>
      <c r="C8" t="s">
        <v>49</v>
      </c>
      <c r="D8" t="s">
        <v>50</v>
      </c>
      <c r="E8" t="s">
        <v>32</v>
      </c>
      <c r="F8" t="s">
        <v>51</v>
      </c>
      <c r="G8" t="s">
        <v>37</v>
      </c>
      <c r="H8">
        <v>4</v>
      </c>
      <c r="I8">
        <v>240.33</v>
      </c>
      <c r="J8">
        <v>0</v>
      </c>
      <c r="K8">
        <v>961.32</v>
      </c>
      <c r="L8">
        <v>600</v>
      </c>
      <c r="M8">
        <v>361.32</v>
      </c>
      <c r="N8" t="s">
        <v>38</v>
      </c>
      <c r="O8" t="s">
        <v>28</v>
      </c>
    </row>
    <row r="9" spans="1:15" x14ac:dyDescent="0.35">
      <c r="A9" t="s">
        <v>52</v>
      </c>
      <c r="B9" s="1">
        <v>45872</v>
      </c>
      <c r="C9" t="s">
        <v>53</v>
      </c>
      <c r="D9" t="s">
        <v>17</v>
      </c>
      <c r="E9" t="s">
        <v>18</v>
      </c>
      <c r="F9" t="s">
        <v>41</v>
      </c>
      <c r="G9" t="s">
        <v>37</v>
      </c>
      <c r="H9">
        <v>6</v>
      </c>
      <c r="I9">
        <v>890.08</v>
      </c>
      <c r="J9">
        <v>0.1</v>
      </c>
      <c r="K9">
        <v>4806.43</v>
      </c>
      <c r="L9">
        <v>3600</v>
      </c>
      <c r="M9">
        <v>1206.43</v>
      </c>
      <c r="N9" t="s">
        <v>47</v>
      </c>
      <c r="O9" t="s">
        <v>22</v>
      </c>
    </row>
    <row r="10" spans="1:15" x14ac:dyDescent="0.35">
      <c r="A10" t="s">
        <v>54</v>
      </c>
      <c r="B10" s="1">
        <v>45845</v>
      </c>
      <c r="C10" t="s">
        <v>55</v>
      </c>
      <c r="D10" t="s">
        <v>17</v>
      </c>
      <c r="E10" t="s">
        <v>18</v>
      </c>
      <c r="F10" t="s">
        <v>19</v>
      </c>
      <c r="G10" t="s">
        <v>20</v>
      </c>
      <c r="H10">
        <v>1</v>
      </c>
      <c r="I10">
        <v>263.92</v>
      </c>
      <c r="J10">
        <v>0.1</v>
      </c>
      <c r="K10">
        <v>237.53</v>
      </c>
      <c r="L10">
        <v>170</v>
      </c>
      <c r="M10">
        <v>67.53</v>
      </c>
      <c r="N10" t="s">
        <v>38</v>
      </c>
      <c r="O10" t="s">
        <v>28</v>
      </c>
    </row>
    <row r="11" spans="1:15" x14ac:dyDescent="0.35">
      <c r="A11" t="s">
        <v>56</v>
      </c>
      <c r="B11" s="1">
        <v>45720</v>
      </c>
      <c r="C11" t="s">
        <v>57</v>
      </c>
      <c r="D11" t="s">
        <v>58</v>
      </c>
      <c r="E11" t="s">
        <v>18</v>
      </c>
      <c r="F11" t="s">
        <v>36</v>
      </c>
      <c r="G11" t="s">
        <v>37</v>
      </c>
      <c r="H11">
        <v>3</v>
      </c>
      <c r="I11">
        <v>126.03</v>
      </c>
      <c r="J11">
        <v>0.1</v>
      </c>
      <c r="K11">
        <v>340.28</v>
      </c>
      <c r="L11">
        <v>180</v>
      </c>
      <c r="M11">
        <v>160.28</v>
      </c>
      <c r="N11" t="s">
        <v>21</v>
      </c>
      <c r="O11" t="s">
        <v>28</v>
      </c>
    </row>
    <row r="12" spans="1:15" x14ac:dyDescent="0.35">
      <c r="A12" t="s">
        <v>59</v>
      </c>
      <c r="B12" s="1">
        <v>45792</v>
      </c>
      <c r="C12" t="s">
        <v>35</v>
      </c>
      <c r="D12" t="s">
        <v>60</v>
      </c>
      <c r="E12" t="s">
        <v>61</v>
      </c>
      <c r="F12" t="s">
        <v>27</v>
      </c>
      <c r="G12" t="s">
        <v>20</v>
      </c>
      <c r="H12">
        <v>2</v>
      </c>
      <c r="I12">
        <v>189.66</v>
      </c>
      <c r="J12">
        <v>0</v>
      </c>
      <c r="K12">
        <v>379.32</v>
      </c>
      <c r="L12">
        <v>220</v>
      </c>
      <c r="M12">
        <v>159.32</v>
      </c>
      <c r="N12" t="s">
        <v>47</v>
      </c>
      <c r="O12" t="s">
        <v>28</v>
      </c>
    </row>
    <row r="13" spans="1:15" x14ac:dyDescent="0.35">
      <c r="A13" t="s">
        <v>62</v>
      </c>
      <c r="B13" s="1">
        <v>45692</v>
      </c>
      <c r="C13" t="s">
        <v>63</v>
      </c>
      <c r="D13" t="s">
        <v>60</v>
      </c>
      <c r="E13" t="s">
        <v>61</v>
      </c>
      <c r="F13" t="s">
        <v>36</v>
      </c>
      <c r="G13" t="s">
        <v>37</v>
      </c>
      <c r="H13">
        <v>1</v>
      </c>
      <c r="I13">
        <v>125.87</v>
      </c>
      <c r="J13">
        <v>0.1</v>
      </c>
      <c r="K13">
        <v>113.28</v>
      </c>
      <c r="L13">
        <v>60</v>
      </c>
      <c r="M13">
        <v>53.28</v>
      </c>
      <c r="N13" t="s">
        <v>21</v>
      </c>
      <c r="O13" t="s">
        <v>42</v>
      </c>
    </row>
    <row r="14" spans="1:15" x14ac:dyDescent="0.35">
      <c r="A14" t="s">
        <v>64</v>
      </c>
      <c r="B14" s="1">
        <v>46003</v>
      </c>
      <c r="C14" t="s">
        <v>65</v>
      </c>
      <c r="D14" t="s">
        <v>66</v>
      </c>
      <c r="E14" t="s">
        <v>61</v>
      </c>
      <c r="F14" t="s">
        <v>67</v>
      </c>
      <c r="G14" t="s">
        <v>37</v>
      </c>
      <c r="H14">
        <v>1</v>
      </c>
      <c r="I14">
        <v>77.459999999999994</v>
      </c>
      <c r="J14">
        <v>0</v>
      </c>
      <c r="K14">
        <v>77.459999999999994</v>
      </c>
      <c r="L14">
        <v>40</v>
      </c>
      <c r="M14">
        <v>37.46</v>
      </c>
      <c r="N14" t="s">
        <v>47</v>
      </c>
      <c r="O14" t="s">
        <v>22</v>
      </c>
    </row>
    <row r="15" spans="1:15" x14ac:dyDescent="0.35">
      <c r="A15" t="s">
        <v>68</v>
      </c>
      <c r="B15" s="1">
        <v>45888</v>
      </c>
      <c r="C15" t="s">
        <v>69</v>
      </c>
      <c r="D15" t="s">
        <v>50</v>
      </c>
      <c r="E15" t="s">
        <v>32</v>
      </c>
      <c r="F15" t="s">
        <v>51</v>
      </c>
      <c r="G15" t="s">
        <v>37</v>
      </c>
      <c r="H15">
        <v>4</v>
      </c>
      <c r="I15">
        <v>230.4</v>
      </c>
      <c r="J15">
        <v>0</v>
      </c>
      <c r="K15">
        <v>921.6</v>
      </c>
      <c r="L15">
        <v>600</v>
      </c>
      <c r="M15">
        <v>321.60000000000002</v>
      </c>
      <c r="N15" t="s">
        <v>33</v>
      </c>
      <c r="O15" t="s">
        <v>42</v>
      </c>
    </row>
    <row r="16" spans="1:15" x14ac:dyDescent="0.35">
      <c r="A16" t="s">
        <v>70</v>
      </c>
      <c r="B16" s="1">
        <v>45719</v>
      </c>
      <c r="C16" t="s">
        <v>71</v>
      </c>
      <c r="D16" t="s">
        <v>60</v>
      </c>
      <c r="E16" t="s">
        <v>61</v>
      </c>
      <c r="F16" t="s">
        <v>19</v>
      </c>
      <c r="G16" t="s">
        <v>20</v>
      </c>
      <c r="H16">
        <v>4</v>
      </c>
      <c r="I16">
        <v>267.92</v>
      </c>
      <c r="J16">
        <v>0.1</v>
      </c>
      <c r="K16">
        <v>964.51</v>
      </c>
      <c r="L16">
        <v>680</v>
      </c>
      <c r="M16">
        <v>284.51</v>
      </c>
      <c r="N16" t="s">
        <v>21</v>
      </c>
      <c r="O16" t="s">
        <v>28</v>
      </c>
    </row>
    <row r="17" spans="1:15" x14ac:dyDescent="0.35">
      <c r="A17" t="s">
        <v>72</v>
      </c>
      <c r="B17" s="1">
        <v>45847</v>
      </c>
      <c r="C17" t="s">
        <v>73</v>
      </c>
      <c r="D17" t="s">
        <v>60</v>
      </c>
      <c r="E17" t="s">
        <v>61</v>
      </c>
      <c r="F17" t="s">
        <v>41</v>
      </c>
      <c r="G17" t="s">
        <v>37</v>
      </c>
      <c r="H17">
        <v>1</v>
      </c>
      <c r="I17">
        <v>897.89</v>
      </c>
      <c r="J17">
        <v>0</v>
      </c>
      <c r="K17">
        <v>897.89</v>
      </c>
      <c r="L17">
        <v>600</v>
      </c>
      <c r="M17">
        <v>297.89</v>
      </c>
      <c r="N17" t="s">
        <v>21</v>
      </c>
      <c r="O17" t="s">
        <v>28</v>
      </c>
    </row>
    <row r="18" spans="1:15" x14ac:dyDescent="0.35">
      <c r="A18" t="s">
        <v>74</v>
      </c>
      <c r="B18" s="1">
        <v>45794</v>
      </c>
      <c r="C18" t="s">
        <v>75</v>
      </c>
      <c r="D18" t="s">
        <v>31</v>
      </c>
      <c r="E18" t="s">
        <v>32</v>
      </c>
      <c r="F18" t="s">
        <v>19</v>
      </c>
      <c r="G18" t="s">
        <v>20</v>
      </c>
      <c r="H18">
        <v>3</v>
      </c>
      <c r="I18">
        <v>269.98</v>
      </c>
      <c r="J18">
        <v>0</v>
      </c>
      <c r="K18">
        <v>809.94</v>
      </c>
      <c r="L18">
        <v>510</v>
      </c>
      <c r="M18">
        <v>299.94</v>
      </c>
      <c r="N18" t="s">
        <v>21</v>
      </c>
      <c r="O18" t="s">
        <v>22</v>
      </c>
    </row>
    <row r="19" spans="1:15" x14ac:dyDescent="0.35">
      <c r="A19" t="s">
        <v>76</v>
      </c>
      <c r="B19" s="1">
        <v>45709</v>
      </c>
      <c r="C19" t="s">
        <v>77</v>
      </c>
      <c r="D19" t="s">
        <v>17</v>
      </c>
      <c r="E19" t="s">
        <v>18</v>
      </c>
      <c r="F19" t="s">
        <v>78</v>
      </c>
      <c r="G19" t="s">
        <v>20</v>
      </c>
      <c r="H19">
        <v>3</v>
      </c>
      <c r="I19">
        <v>315.01</v>
      </c>
      <c r="J19">
        <v>0.1</v>
      </c>
      <c r="K19">
        <v>850.53</v>
      </c>
      <c r="L19">
        <v>600</v>
      </c>
      <c r="M19">
        <v>250.53</v>
      </c>
      <c r="N19" t="s">
        <v>47</v>
      </c>
      <c r="O19" t="s">
        <v>28</v>
      </c>
    </row>
    <row r="20" spans="1:15" x14ac:dyDescent="0.35">
      <c r="A20" t="s">
        <v>79</v>
      </c>
      <c r="B20" s="1">
        <v>45711</v>
      </c>
      <c r="C20" t="s">
        <v>80</v>
      </c>
      <c r="D20" t="s">
        <v>45</v>
      </c>
      <c r="E20" t="s">
        <v>46</v>
      </c>
      <c r="F20" t="s">
        <v>19</v>
      </c>
      <c r="G20" t="s">
        <v>20</v>
      </c>
      <c r="H20">
        <v>2</v>
      </c>
      <c r="I20">
        <v>285.58999999999997</v>
      </c>
      <c r="J20">
        <v>0.05</v>
      </c>
      <c r="K20">
        <v>542.62</v>
      </c>
      <c r="L20">
        <v>340</v>
      </c>
      <c r="M20">
        <v>202.62</v>
      </c>
      <c r="N20" t="s">
        <v>33</v>
      </c>
      <c r="O20" t="s">
        <v>28</v>
      </c>
    </row>
    <row r="21" spans="1:15" x14ac:dyDescent="0.35">
      <c r="A21" t="s">
        <v>81</v>
      </c>
      <c r="B21" s="1">
        <v>45981</v>
      </c>
      <c r="C21" t="s">
        <v>82</v>
      </c>
      <c r="D21" t="s">
        <v>45</v>
      </c>
      <c r="E21" t="s">
        <v>46</v>
      </c>
      <c r="F21" t="s">
        <v>36</v>
      </c>
      <c r="G21" t="s">
        <v>37</v>
      </c>
      <c r="H21">
        <v>2</v>
      </c>
      <c r="I21">
        <v>126.53</v>
      </c>
      <c r="J21">
        <v>0</v>
      </c>
      <c r="K21">
        <v>253.06</v>
      </c>
      <c r="L21">
        <v>120</v>
      </c>
      <c r="M21">
        <v>133.06</v>
      </c>
      <c r="N21" t="s">
        <v>33</v>
      </c>
      <c r="O21" t="s">
        <v>28</v>
      </c>
    </row>
    <row r="22" spans="1:15" x14ac:dyDescent="0.35">
      <c r="A22" t="s">
        <v>83</v>
      </c>
      <c r="B22" s="1">
        <v>45897</v>
      </c>
      <c r="C22" t="s">
        <v>84</v>
      </c>
      <c r="D22" t="s">
        <v>25</v>
      </c>
      <c r="E22" t="s">
        <v>26</v>
      </c>
      <c r="F22" t="s">
        <v>41</v>
      </c>
      <c r="G22" t="s">
        <v>37</v>
      </c>
      <c r="H22">
        <v>1</v>
      </c>
      <c r="I22">
        <v>884.39</v>
      </c>
      <c r="J22">
        <v>0.05</v>
      </c>
      <c r="K22">
        <v>840.17</v>
      </c>
      <c r="L22">
        <v>600</v>
      </c>
      <c r="M22">
        <v>240.17</v>
      </c>
      <c r="N22" t="s">
        <v>21</v>
      </c>
      <c r="O22" t="s">
        <v>28</v>
      </c>
    </row>
    <row r="23" spans="1:15" x14ac:dyDescent="0.35">
      <c r="A23" t="s">
        <v>85</v>
      </c>
      <c r="B23" s="1">
        <v>46003</v>
      </c>
      <c r="C23" t="s">
        <v>86</v>
      </c>
      <c r="D23" t="s">
        <v>58</v>
      </c>
      <c r="E23" t="s">
        <v>18</v>
      </c>
      <c r="F23" t="s">
        <v>51</v>
      </c>
      <c r="G23" t="s">
        <v>37</v>
      </c>
      <c r="H23">
        <v>1</v>
      </c>
      <c r="I23">
        <v>233.44</v>
      </c>
      <c r="J23">
        <v>0.05</v>
      </c>
      <c r="K23">
        <v>221.77</v>
      </c>
      <c r="L23">
        <v>150</v>
      </c>
      <c r="M23">
        <v>71.77</v>
      </c>
      <c r="N23" t="s">
        <v>47</v>
      </c>
      <c r="O23" t="s">
        <v>22</v>
      </c>
    </row>
    <row r="24" spans="1:15" x14ac:dyDescent="0.35">
      <c r="A24" t="s">
        <v>87</v>
      </c>
      <c r="B24" s="1">
        <v>45786</v>
      </c>
      <c r="C24" t="s">
        <v>88</v>
      </c>
      <c r="D24" t="s">
        <v>58</v>
      </c>
      <c r="E24" t="s">
        <v>18</v>
      </c>
      <c r="F24" t="s">
        <v>67</v>
      </c>
      <c r="G24" t="s">
        <v>37</v>
      </c>
      <c r="H24">
        <v>3</v>
      </c>
      <c r="I24">
        <v>76.53</v>
      </c>
      <c r="J24">
        <v>0</v>
      </c>
      <c r="K24">
        <v>229.59</v>
      </c>
      <c r="L24">
        <v>120</v>
      </c>
      <c r="M24">
        <v>109.59</v>
      </c>
      <c r="N24" t="s">
        <v>21</v>
      </c>
      <c r="O24" t="s">
        <v>28</v>
      </c>
    </row>
    <row r="25" spans="1:15" x14ac:dyDescent="0.35">
      <c r="A25" t="s">
        <v>89</v>
      </c>
      <c r="B25" s="1">
        <v>45769</v>
      </c>
      <c r="C25" t="s">
        <v>90</v>
      </c>
      <c r="D25" t="s">
        <v>60</v>
      </c>
      <c r="E25" t="s">
        <v>61</v>
      </c>
      <c r="F25" t="s">
        <v>67</v>
      </c>
      <c r="G25" t="s">
        <v>37</v>
      </c>
      <c r="H25">
        <v>2</v>
      </c>
      <c r="I25">
        <v>72.16</v>
      </c>
      <c r="J25">
        <v>0</v>
      </c>
      <c r="K25">
        <v>144.32</v>
      </c>
      <c r="L25">
        <v>80</v>
      </c>
      <c r="M25">
        <v>64.319999999999993</v>
      </c>
      <c r="N25" t="s">
        <v>33</v>
      </c>
      <c r="O25" t="s">
        <v>42</v>
      </c>
    </row>
    <row r="26" spans="1:15" x14ac:dyDescent="0.35">
      <c r="A26" t="s">
        <v>91</v>
      </c>
      <c r="B26" s="1">
        <v>45666</v>
      </c>
      <c r="C26" t="s">
        <v>86</v>
      </c>
      <c r="D26" t="s">
        <v>60</v>
      </c>
      <c r="E26" t="s">
        <v>61</v>
      </c>
      <c r="F26" t="s">
        <v>36</v>
      </c>
      <c r="G26" t="s">
        <v>37</v>
      </c>
      <c r="H26">
        <v>3</v>
      </c>
      <c r="I26">
        <v>127.36</v>
      </c>
      <c r="J26">
        <v>0.1</v>
      </c>
      <c r="K26">
        <v>343.87</v>
      </c>
      <c r="L26">
        <v>180</v>
      </c>
      <c r="M26">
        <v>163.87</v>
      </c>
      <c r="N26" t="s">
        <v>33</v>
      </c>
      <c r="O26" t="s">
        <v>22</v>
      </c>
    </row>
    <row r="27" spans="1:15" x14ac:dyDescent="0.35">
      <c r="A27" t="s">
        <v>92</v>
      </c>
      <c r="B27" s="1">
        <v>45761</v>
      </c>
      <c r="C27" t="s">
        <v>93</v>
      </c>
      <c r="D27" t="s">
        <v>17</v>
      </c>
      <c r="E27" t="s">
        <v>18</v>
      </c>
      <c r="F27" t="s">
        <v>78</v>
      </c>
      <c r="G27" t="s">
        <v>20</v>
      </c>
      <c r="H27">
        <v>1</v>
      </c>
      <c r="I27">
        <v>336.78</v>
      </c>
      <c r="J27">
        <v>0</v>
      </c>
      <c r="K27">
        <v>336.78</v>
      </c>
      <c r="L27">
        <v>200</v>
      </c>
      <c r="M27">
        <v>136.78</v>
      </c>
      <c r="N27" t="s">
        <v>47</v>
      </c>
      <c r="O27" t="s">
        <v>42</v>
      </c>
    </row>
    <row r="28" spans="1:15" x14ac:dyDescent="0.35">
      <c r="A28" t="s">
        <v>94</v>
      </c>
      <c r="B28" s="1">
        <v>45865</v>
      </c>
      <c r="C28" t="s">
        <v>95</v>
      </c>
      <c r="D28" t="s">
        <v>50</v>
      </c>
      <c r="E28" t="s">
        <v>32</v>
      </c>
      <c r="F28" t="s">
        <v>41</v>
      </c>
      <c r="G28" t="s">
        <v>37</v>
      </c>
      <c r="H28">
        <v>1</v>
      </c>
      <c r="I28">
        <v>862.08</v>
      </c>
      <c r="J28">
        <v>0</v>
      </c>
      <c r="K28">
        <v>862.08</v>
      </c>
      <c r="L28">
        <v>600</v>
      </c>
      <c r="M28">
        <v>262.08</v>
      </c>
      <c r="N28" t="s">
        <v>21</v>
      </c>
      <c r="O28" t="s">
        <v>42</v>
      </c>
    </row>
    <row r="29" spans="1:15" x14ac:dyDescent="0.35">
      <c r="A29" t="s">
        <v>96</v>
      </c>
      <c r="B29" s="1">
        <v>45852</v>
      </c>
      <c r="C29" t="s">
        <v>97</v>
      </c>
      <c r="D29" t="s">
        <v>60</v>
      </c>
      <c r="E29" t="s">
        <v>61</v>
      </c>
      <c r="F29" t="s">
        <v>27</v>
      </c>
      <c r="G29" t="s">
        <v>20</v>
      </c>
      <c r="H29">
        <v>3</v>
      </c>
      <c r="I29">
        <v>189.58</v>
      </c>
      <c r="J29">
        <v>0</v>
      </c>
      <c r="K29">
        <v>568.74</v>
      </c>
      <c r="L29">
        <v>330</v>
      </c>
      <c r="M29">
        <v>238.74</v>
      </c>
      <c r="N29" t="s">
        <v>33</v>
      </c>
      <c r="O29" t="s">
        <v>28</v>
      </c>
    </row>
    <row r="30" spans="1:15" x14ac:dyDescent="0.35">
      <c r="A30" t="s">
        <v>98</v>
      </c>
      <c r="B30" s="1">
        <v>45921</v>
      </c>
      <c r="C30" t="s">
        <v>99</v>
      </c>
      <c r="D30" t="s">
        <v>58</v>
      </c>
      <c r="E30" t="s">
        <v>18</v>
      </c>
      <c r="F30" t="s">
        <v>36</v>
      </c>
      <c r="G30" t="s">
        <v>37</v>
      </c>
      <c r="H30">
        <v>4</v>
      </c>
      <c r="I30">
        <v>123</v>
      </c>
      <c r="J30">
        <v>0.05</v>
      </c>
      <c r="K30">
        <v>467.4</v>
      </c>
      <c r="L30">
        <v>240</v>
      </c>
      <c r="M30">
        <v>227.4</v>
      </c>
      <c r="N30" t="s">
        <v>21</v>
      </c>
      <c r="O30" t="s">
        <v>28</v>
      </c>
    </row>
    <row r="31" spans="1:15" x14ac:dyDescent="0.35">
      <c r="A31" t="s">
        <v>100</v>
      </c>
      <c r="B31" s="1">
        <v>45661</v>
      </c>
      <c r="C31" t="s">
        <v>101</v>
      </c>
      <c r="D31" t="s">
        <v>58</v>
      </c>
      <c r="E31" t="s">
        <v>18</v>
      </c>
      <c r="F31" t="s">
        <v>27</v>
      </c>
      <c r="G31" t="s">
        <v>20</v>
      </c>
      <c r="H31">
        <v>3</v>
      </c>
      <c r="I31">
        <v>203.73</v>
      </c>
      <c r="J31">
        <v>0</v>
      </c>
      <c r="K31">
        <v>611.19000000000005</v>
      </c>
      <c r="L31">
        <v>330</v>
      </c>
      <c r="M31">
        <v>281.19</v>
      </c>
      <c r="N31" t="s">
        <v>33</v>
      </c>
      <c r="O31" t="s">
        <v>42</v>
      </c>
    </row>
    <row r="32" spans="1:15" x14ac:dyDescent="0.35">
      <c r="A32" t="s">
        <v>102</v>
      </c>
      <c r="B32" s="1">
        <v>45694</v>
      </c>
      <c r="C32" t="s">
        <v>103</v>
      </c>
      <c r="D32" t="s">
        <v>25</v>
      </c>
      <c r="E32" t="s">
        <v>26</v>
      </c>
      <c r="F32" t="s">
        <v>19</v>
      </c>
      <c r="G32" t="s">
        <v>20</v>
      </c>
      <c r="H32">
        <v>2</v>
      </c>
      <c r="I32">
        <v>295.7</v>
      </c>
      <c r="J32">
        <v>0.15</v>
      </c>
      <c r="K32">
        <v>502.69</v>
      </c>
      <c r="L32">
        <v>340</v>
      </c>
      <c r="M32">
        <v>162.69</v>
      </c>
      <c r="N32" t="s">
        <v>21</v>
      </c>
      <c r="O32" t="s">
        <v>28</v>
      </c>
    </row>
    <row r="33" spans="1:15" x14ac:dyDescent="0.35">
      <c r="A33" t="s">
        <v>104</v>
      </c>
      <c r="B33" s="1">
        <v>45818</v>
      </c>
      <c r="C33" t="s">
        <v>105</v>
      </c>
      <c r="D33" t="s">
        <v>25</v>
      </c>
      <c r="E33" t="s">
        <v>26</v>
      </c>
      <c r="F33" t="s">
        <v>36</v>
      </c>
      <c r="G33" t="s">
        <v>37</v>
      </c>
      <c r="H33">
        <v>1</v>
      </c>
      <c r="I33">
        <v>128.6</v>
      </c>
      <c r="J33">
        <v>0.05</v>
      </c>
      <c r="K33">
        <v>122.17</v>
      </c>
      <c r="L33">
        <v>60</v>
      </c>
      <c r="M33">
        <v>62.17</v>
      </c>
      <c r="N33" t="s">
        <v>21</v>
      </c>
      <c r="O33" t="s">
        <v>28</v>
      </c>
    </row>
    <row r="34" spans="1:15" x14ac:dyDescent="0.35">
      <c r="A34" t="s">
        <v>106</v>
      </c>
      <c r="B34" s="1">
        <v>45999</v>
      </c>
      <c r="C34" t="s">
        <v>107</v>
      </c>
      <c r="D34" t="s">
        <v>45</v>
      </c>
      <c r="E34" t="s">
        <v>46</v>
      </c>
      <c r="F34" t="s">
        <v>108</v>
      </c>
      <c r="G34" t="s">
        <v>37</v>
      </c>
      <c r="H34">
        <v>1</v>
      </c>
      <c r="I34">
        <v>416.61</v>
      </c>
      <c r="J34">
        <v>0</v>
      </c>
      <c r="K34">
        <v>416.61</v>
      </c>
      <c r="L34">
        <v>280</v>
      </c>
      <c r="M34">
        <v>136.61000000000001</v>
      </c>
      <c r="N34" t="s">
        <v>21</v>
      </c>
      <c r="O34" t="s">
        <v>42</v>
      </c>
    </row>
    <row r="35" spans="1:15" x14ac:dyDescent="0.35">
      <c r="A35" t="s">
        <v>109</v>
      </c>
      <c r="B35" s="1">
        <v>45696</v>
      </c>
      <c r="C35" t="s">
        <v>110</v>
      </c>
      <c r="D35" t="s">
        <v>50</v>
      </c>
      <c r="E35" t="s">
        <v>32</v>
      </c>
      <c r="F35" t="s">
        <v>108</v>
      </c>
      <c r="G35" t="s">
        <v>37</v>
      </c>
      <c r="H35">
        <v>4</v>
      </c>
      <c r="I35">
        <v>446.34</v>
      </c>
      <c r="J35">
        <v>0.1</v>
      </c>
      <c r="K35">
        <v>1606.82</v>
      </c>
      <c r="L35">
        <v>1120</v>
      </c>
      <c r="M35">
        <v>486.82</v>
      </c>
      <c r="N35" t="s">
        <v>47</v>
      </c>
      <c r="O35" t="s">
        <v>28</v>
      </c>
    </row>
    <row r="36" spans="1:15" x14ac:dyDescent="0.35">
      <c r="A36" t="s">
        <v>111</v>
      </c>
      <c r="B36" s="1">
        <v>45830</v>
      </c>
      <c r="C36" t="s">
        <v>16</v>
      </c>
      <c r="D36" t="s">
        <v>17</v>
      </c>
      <c r="E36" t="s">
        <v>18</v>
      </c>
      <c r="F36" t="s">
        <v>41</v>
      </c>
      <c r="G36" t="s">
        <v>37</v>
      </c>
      <c r="H36">
        <v>1</v>
      </c>
      <c r="I36">
        <v>813.11</v>
      </c>
      <c r="J36">
        <v>0</v>
      </c>
      <c r="K36">
        <v>813.11</v>
      </c>
      <c r="L36">
        <v>600</v>
      </c>
      <c r="M36">
        <v>213.11</v>
      </c>
      <c r="N36" t="s">
        <v>21</v>
      </c>
      <c r="O36" t="s">
        <v>42</v>
      </c>
    </row>
    <row r="37" spans="1:15" x14ac:dyDescent="0.35">
      <c r="A37" t="s">
        <v>112</v>
      </c>
      <c r="B37" s="1">
        <v>45945</v>
      </c>
      <c r="C37" t="s">
        <v>113</v>
      </c>
      <c r="D37" t="s">
        <v>45</v>
      </c>
      <c r="E37" t="s">
        <v>46</v>
      </c>
      <c r="F37" t="s">
        <v>51</v>
      </c>
      <c r="G37" t="s">
        <v>37</v>
      </c>
      <c r="H37">
        <v>1</v>
      </c>
      <c r="I37">
        <v>244.93</v>
      </c>
      <c r="J37">
        <v>0.05</v>
      </c>
      <c r="K37">
        <v>232.68</v>
      </c>
      <c r="L37">
        <v>150</v>
      </c>
      <c r="M37">
        <v>82.68</v>
      </c>
      <c r="N37" t="s">
        <v>21</v>
      </c>
      <c r="O37" t="s">
        <v>28</v>
      </c>
    </row>
    <row r="38" spans="1:15" x14ac:dyDescent="0.35">
      <c r="A38" t="s">
        <v>114</v>
      </c>
      <c r="B38" s="1">
        <v>45758</v>
      </c>
      <c r="C38" t="s">
        <v>115</v>
      </c>
      <c r="D38" t="s">
        <v>60</v>
      </c>
      <c r="E38" t="s">
        <v>61</v>
      </c>
      <c r="F38" t="s">
        <v>27</v>
      </c>
      <c r="G38" t="s">
        <v>20</v>
      </c>
      <c r="H38">
        <v>4</v>
      </c>
      <c r="I38">
        <v>195.89</v>
      </c>
      <c r="J38">
        <v>0</v>
      </c>
      <c r="K38">
        <v>783.56</v>
      </c>
      <c r="L38">
        <v>440</v>
      </c>
      <c r="M38">
        <v>343.56</v>
      </c>
      <c r="N38" t="s">
        <v>21</v>
      </c>
      <c r="O38" t="s">
        <v>28</v>
      </c>
    </row>
    <row r="39" spans="1:15" x14ac:dyDescent="0.35">
      <c r="A39" t="s">
        <v>116</v>
      </c>
      <c r="B39" s="1">
        <v>45704</v>
      </c>
      <c r="C39" t="s">
        <v>117</v>
      </c>
      <c r="D39" t="s">
        <v>58</v>
      </c>
      <c r="E39" t="s">
        <v>18</v>
      </c>
      <c r="F39" t="s">
        <v>51</v>
      </c>
      <c r="G39" t="s">
        <v>37</v>
      </c>
      <c r="H39">
        <v>1</v>
      </c>
      <c r="I39">
        <v>258.25</v>
      </c>
      <c r="J39">
        <v>0</v>
      </c>
      <c r="K39">
        <v>258.25</v>
      </c>
      <c r="L39">
        <v>150</v>
      </c>
      <c r="M39">
        <v>108.25</v>
      </c>
      <c r="N39" t="s">
        <v>21</v>
      </c>
      <c r="O39" t="s">
        <v>28</v>
      </c>
    </row>
    <row r="40" spans="1:15" x14ac:dyDescent="0.35">
      <c r="A40" t="s">
        <v>118</v>
      </c>
      <c r="B40" s="1">
        <v>45932</v>
      </c>
      <c r="C40" t="s">
        <v>119</v>
      </c>
      <c r="D40" t="s">
        <v>17</v>
      </c>
      <c r="E40" t="s">
        <v>18</v>
      </c>
      <c r="F40" t="s">
        <v>108</v>
      </c>
      <c r="G40" t="s">
        <v>37</v>
      </c>
      <c r="H40">
        <v>1</v>
      </c>
      <c r="I40">
        <v>451.56</v>
      </c>
      <c r="J40">
        <v>0</v>
      </c>
      <c r="K40">
        <v>451.56</v>
      </c>
      <c r="L40">
        <v>280</v>
      </c>
      <c r="M40">
        <v>171.56</v>
      </c>
      <c r="N40" t="s">
        <v>47</v>
      </c>
      <c r="O40" t="s">
        <v>28</v>
      </c>
    </row>
    <row r="41" spans="1:15" x14ac:dyDescent="0.35">
      <c r="A41" t="s">
        <v>120</v>
      </c>
      <c r="B41" s="1">
        <v>45658</v>
      </c>
      <c r="C41" t="s">
        <v>121</v>
      </c>
      <c r="D41" t="s">
        <v>45</v>
      </c>
      <c r="E41" t="s">
        <v>46</v>
      </c>
      <c r="F41" t="s">
        <v>108</v>
      </c>
      <c r="G41" t="s">
        <v>37</v>
      </c>
      <c r="H41">
        <v>1</v>
      </c>
      <c r="I41">
        <v>408.98</v>
      </c>
      <c r="J41">
        <v>0</v>
      </c>
      <c r="K41">
        <v>408.98</v>
      </c>
      <c r="L41">
        <v>280</v>
      </c>
      <c r="M41">
        <v>128.97999999999999</v>
      </c>
      <c r="N41" t="s">
        <v>38</v>
      </c>
      <c r="O41" t="s">
        <v>28</v>
      </c>
    </row>
    <row r="42" spans="1:15" x14ac:dyDescent="0.35">
      <c r="A42" t="s">
        <v>122</v>
      </c>
      <c r="B42" s="1">
        <v>45849</v>
      </c>
      <c r="C42" t="s">
        <v>123</v>
      </c>
      <c r="D42" t="s">
        <v>45</v>
      </c>
      <c r="E42" t="s">
        <v>46</v>
      </c>
      <c r="F42" t="s">
        <v>19</v>
      </c>
      <c r="G42" t="s">
        <v>20</v>
      </c>
      <c r="H42">
        <v>3</v>
      </c>
      <c r="I42">
        <v>270.11</v>
      </c>
      <c r="J42">
        <v>0</v>
      </c>
      <c r="K42">
        <v>810.33</v>
      </c>
      <c r="L42">
        <v>510</v>
      </c>
      <c r="M42">
        <v>300.33</v>
      </c>
      <c r="N42" t="s">
        <v>38</v>
      </c>
      <c r="O42" t="s">
        <v>28</v>
      </c>
    </row>
    <row r="43" spans="1:15" x14ac:dyDescent="0.35">
      <c r="A43" t="s">
        <v>124</v>
      </c>
      <c r="B43" s="1">
        <v>45877</v>
      </c>
      <c r="C43" t="s">
        <v>80</v>
      </c>
      <c r="D43" t="s">
        <v>50</v>
      </c>
      <c r="E43" t="s">
        <v>32</v>
      </c>
      <c r="F43" t="s">
        <v>51</v>
      </c>
      <c r="G43" t="s">
        <v>37</v>
      </c>
      <c r="H43">
        <v>1</v>
      </c>
      <c r="I43">
        <v>249.95</v>
      </c>
      <c r="J43">
        <v>0.1</v>
      </c>
      <c r="K43">
        <v>224.96</v>
      </c>
      <c r="L43">
        <v>150</v>
      </c>
      <c r="M43">
        <v>74.959999999999994</v>
      </c>
      <c r="N43" t="s">
        <v>38</v>
      </c>
      <c r="O43" t="s">
        <v>22</v>
      </c>
    </row>
    <row r="44" spans="1:15" x14ac:dyDescent="0.35">
      <c r="A44" t="s">
        <v>125</v>
      </c>
      <c r="B44" s="1">
        <v>45757</v>
      </c>
      <c r="C44" t="s">
        <v>82</v>
      </c>
      <c r="D44" t="s">
        <v>60</v>
      </c>
      <c r="E44" t="s">
        <v>61</v>
      </c>
      <c r="F44" t="s">
        <v>78</v>
      </c>
      <c r="G44" t="s">
        <v>20</v>
      </c>
      <c r="H44">
        <v>2</v>
      </c>
      <c r="I44">
        <v>334.77</v>
      </c>
      <c r="J44">
        <v>0</v>
      </c>
      <c r="K44">
        <v>669.54</v>
      </c>
      <c r="L44">
        <v>400</v>
      </c>
      <c r="M44">
        <v>269.54000000000002</v>
      </c>
      <c r="N44" t="s">
        <v>21</v>
      </c>
      <c r="O44" t="s">
        <v>28</v>
      </c>
    </row>
    <row r="45" spans="1:15" x14ac:dyDescent="0.35">
      <c r="A45" t="s">
        <v>126</v>
      </c>
      <c r="B45" s="1">
        <v>45907</v>
      </c>
      <c r="C45" t="s">
        <v>127</v>
      </c>
      <c r="D45" t="s">
        <v>58</v>
      </c>
      <c r="E45" t="s">
        <v>18</v>
      </c>
      <c r="F45" t="s">
        <v>108</v>
      </c>
      <c r="G45" t="s">
        <v>37</v>
      </c>
      <c r="H45">
        <v>2</v>
      </c>
      <c r="I45">
        <v>436.34</v>
      </c>
      <c r="J45">
        <v>0.05</v>
      </c>
      <c r="K45">
        <v>829.05</v>
      </c>
      <c r="L45">
        <v>560</v>
      </c>
      <c r="M45">
        <v>269.05</v>
      </c>
      <c r="N45" t="s">
        <v>33</v>
      </c>
      <c r="O45" t="s">
        <v>22</v>
      </c>
    </row>
    <row r="46" spans="1:15" x14ac:dyDescent="0.35">
      <c r="A46" t="s">
        <v>128</v>
      </c>
      <c r="B46" s="1">
        <v>45817</v>
      </c>
      <c r="C46" t="s">
        <v>129</v>
      </c>
      <c r="D46" t="s">
        <v>58</v>
      </c>
      <c r="E46" t="s">
        <v>18</v>
      </c>
      <c r="F46" t="s">
        <v>67</v>
      </c>
      <c r="G46" t="s">
        <v>37</v>
      </c>
      <c r="H46">
        <v>3</v>
      </c>
      <c r="I46">
        <v>77.52</v>
      </c>
      <c r="J46">
        <v>0</v>
      </c>
      <c r="K46">
        <v>232.56</v>
      </c>
      <c r="L46">
        <v>120</v>
      </c>
      <c r="M46">
        <v>112.56</v>
      </c>
      <c r="N46" t="s">
        <v>47</v>
      </c>
      <c r="O46" t="s">
        <v>22</v>
      </c>
    </row>
    <row r="47" spans="1:15" x14ac:dyDescent="0.35">
      <c r="A47" t="s">
        <v>130</v>
      </c>
      <c r="B47" s="1">
        <v>45980</v>
      </c>
      <c r="C47" t="s">
        <v>131</v>
      </c>
      <c r="D47" t="s">
        <v>60</v>
      </c>
      <c r="E47" t="s">
        <v>61</v>
      </c>
      <c r="F47" t="s">
        <v>41</v>
      </c>
      <c r="G47" t="s">
        <v>37</v>
      </c>
      <c r="H47">
        <v>3</v>
      </c>
      <c r="I47">
        <v>837.77</v>
      </c>
      <c r="J47">
        <v>0</v>
      </c>
      <c r="K47">
        <v>2513.31</v>
      </c>
      <c r="L47">
        <v>1800</v>
      </c>
      <c r="M47">
        <v>713.31</v>
      </c>
      <c r="N47" t="s">
        <v>21</v>
      </c>
      <c r="O47" t="s">
        <v>28</v>
      </c>
    </row>
    <row r="48" spans="1:15" x14ac:dyDescent="0.35">
      <c r="A48" t="s">
        <v>132</v>
      </c>
      <c r="B48" s="1">
        <v>45899</v>
      </c>
      <c r="C48" t="s">
        <v>133</v>
      </c>
      <c r="D48" t="s">
        <v>58</v>
      </c>
      <c r="E48" t="s">
        <v>18</v>
      </c>
      <c r="F48" t="s">
        <v>51</v>
      </c>
      <c r="G48" t="s">
        <v>37</v>
      </c>
      <c r="H48">
        <v>1</v>
      </c>
      <c r="I48">
        <v>254.36</v>
      </c>
      <c r="J48">
        <v>0</v>
      </c>
      <c r="K48">
        <v>254.36</v>
      </c>
      <c r="L48">
        <v>150</v>
      </c>
      <c r="M48">
        <v>104.36</v>
      </c>
      <c r="N48" t="s">
        <v>21</v>
      </c>
      <c r="O48" t="s">
        <v>28</v>
      </c>
    </row>
    <row r="49" spans="1:15" x14ac:dyDescent="0.35">
      <c r="A49" t="s">
        <v>134</v>
      </c>
      <c r="B49" s="1">
        <v>45771</v>
      </c>
      <c r="C49" t="s">
        <v>135</v>
      </c>
      <c r="D49" t="s">
        <v>50</v>
      </c>
      <c r="E49" t="s">
        <v>32</v>
      </c>
      <c r="F49" t="s">
        <v>36</v>
      </c>
      <c r="G49" t="s">
        <v>37</v>
      </c>
      <c r="H49">
        <v>4</v>
      </c>
      <c r="I49">
        <v>126.53</v>
      </c>
      <c r="J49">
        <v>0.1</v>
      </c>
      <c r="K49">
        <v>455.51</v>
      </c>
      <c r="L49">
        <v>240</v>
      </c>
      <c r="M49">
        <v>215.51</v>
      </c>
      <c r="N49" t="s">
        <v>47</v>
      </c>
      <c r="O49" t="s">
        <v>42</v>
      </c>
    </row>
    <row r="50" spans="1:15" x14ac:dyDescent="0.35">
      <c r="A50" t="s">
        <v>136</v>
      </c>
      <c r="B50" s="1">
        <v>45884</v>
      </c>
      <c r="C50" t="s">
        <v>137</v>
      </c>
      <c r="D50" t="s">
        <v>60</v>
      </c>
      <c r="E50" t="s">
        <v>61</v>
      </c>
      <c r="F50" t="s">
        <v>36</v>
      </c>
      <c r="G50" t="s">
        <v>37</v>
      </c>
      <c r="H50">
        <v>2</v>
      </c>
      <c r="I50">
        <v>126.11</v>
      </c>
      <c r="J50">
        <v>0</v>
      </c>
      <c r="K50">
        <v>252.22</v>
      </c>
      <c r="L50">
        <v>120</v>
      </c>
      <c r="M50">
        <v>132.22</v>
      </c>
      <c r="N50" t="s">
        <v>47</v>
      </c>
      <c r="O50" t="s">
        <v>42</v>
      </c>
    </row>
    <row r="51" spans="1:15" x14ac:dyDescent="0.35">
      <c r="A51" t="s">
        <v>138</v>
      </c>
      <c r="B51" s="1">
        <v>45874</v>
      </c>
      <c r="C51" t="s">
        <v>139</v>
      </c>
      <c r="D51" t="s">
        <v>58</v>
      </c>
      <c r="E51" t="s">
        <v>18</v>
      </c>
      <c r="F51" t="s">
        <v>41</v>
      </c>
      <c r="G51" t="s">
        <v>37</v>
      </c>
      <c r="H51">
        <v>2</v>
      </c>
      <c r="I51">
        <v>862.37</v>
      </c>
      <c r="J51">
        <v>0.05</v>
      </c>
      <c r="K51">
        <v>1638.5</v>
      </c>
      <c r="L51">
        <v>1200</v>
      </c>
      <c r="M51">
        <v>438.5</v>
      </c>
      <c r="N51" t="s">
        <v>21</v>
      </c>
      <c r="O51" t="s">
        <v>28</v>
      </c>
    </row>
    <row r="52" spans="1:15" x14ac:dyDescent="0.35">
      <c r="A52" t="s">
        <v>140</v>
      </c>
      <c r="B52" s="1">
        <v>45890</v>
      </c>
      <c r="C52" t="s">
        <v>141</v>
      </c>
      <c r="D52" t="s">
        <v>58</v>
      </c>
      <c r="E52" t="s">
        <v>18</v>
      </c>
      <c r="F52" t="s">
        <v>67</v>
      </c>
      <c r="G52" t="s">
        <v>37</v>
      </c>
      <c r="H52">
        <v>2</v>
      </c>
      <c r="I52">
        <v>77.849999999999994</v>
      </c>
      <c r="J52">
        <v>0.15</v>
      </c>
      <c r="K52">
        <v>132.34</v>
      </c>
      <c r="L52">
        <v>80</v>
      </c>
      <c r="M52">
        <v>52.34</v>
      </c>
      <c r="N52" t="s">
        <v>47</v>
      </c>
      <c r="O52" t="s">
        <v>28</v>
      </c>
    </row>
    <row r="53" spans="1:15" x14ac:dyDescent="0.35">
      <c r="A53" t="s">
        <v>142</v>
      </c>
      <c r="B53" s="1">
        <v>45726</v>
      </c>
      <c r="C53" t="s">
        <v>143</v>
      </c>
      <c r="D53" t="s">
        <v>58</v>
      </c>
      <c r="E53" t="s">
        <v>18</v>
      </c>
      <c r="F53" t="s">
        <v>67</v>
      </c>
      <c r="G53" t="s">
        <v>37</v>
      </c>
      <c r="H53">
        <v>2</v>
      </c>
      <c r="I53">
        <v>78.59</v>
      </c>
      <c r="J53">
        <v>0.05</v>
      </c>
      <c r="K53">
        <v>149.32</v>
      </c>
      <c r="L53">
        <v>80</v>
      </c>
      <c r="M53">
        <v>69.319999999999993</v>
      </c>
      <c r="N53" t="s">
        <v>21</v>
      </c>
      <c r="O53" t="s">
        <v>22</v>
      </c>
    </row>
    <row r="54" spans="1:15" x14ac:dyDescent="0.35">
      <c r="A54" t="s">
        <v>144</v>
      </c>
      <c r="B54" s="1">
        <v>45843</v>
      </c>
      <c r="C54" t="s">
        <v>145</v>
      </c>
      <c r="D54" t="s">
        <v>45</v>
      </c>
      <c r="E54" t="s">
        <v>46</v>
      </c>
      <c r="F54" t="s">
        <v>78</v>
      </c>
      <c r="G54" t="s">
        <v>20</v>
      </c>
      <c r="H54">
        <v>2</v>
      </c>
      <c r="I54">
        <v>346.26</v>
      </c>
      <c r="J54">
        <v>0</v>
      </c>
      <c r="K54">
        <v>692.52</v>
      </c>
      <c r="L54">
        <v>400</v>
      </c>
      <c r="M54">
        <v>292.52</v>
      </c>
      <c r="N54" t="s">
        <v>21</v>
      </c>
      <c r="O54" t="s">
        <v>28</v>
      </c>
    </row>
    <row r="55" spans="1:15" x14ac:dyDescent="0.35">
      <c r="A55" t="s">
        <v>146</v>
      </c>
      <c r="B55" s="1">
        <v>45731</v>
      </c>
      <c r="C55" t="s">
        <v>147</v>
      </c>
      <c r="D55" t="s">
        <v>66</v>
      </c>
      <c r="E55" t="s">
        <v>61</v>
      </c>
      <c r="F55" t="s">
        <v>67</v>
      </c>
      <c r="G55" t="s">
        <v>37</v>
      </c>
      <c r="H55">
        <v>4</v>
      </c>
      <c r="I55">
        <v>75.400000000000006</v>
      </c>
      <c r="J55">
        <v>0.1</v>
      </c>
      <c r="K55">
        <v>271.44</v>
      </c>
      <c r="L55">
        <v>160</v>
      </c>
      <c r="M55">
        <v>111.44</v>
      </c>
      <c r="N55" t="s">
        <v>47</v>
      </c>
      <c r="O55" t="s">
        <v>22</v>
      </c>
    </row>
    <row r="56" spans="1:15" x14ac:dyDescent="0.35">
      <c r="A56" t="s">
        <v>148</v>
      </c>
      <c r="B56" s="1">
        <v>45851</v>
      </c>
      <c r="C56" t="s">
        <v>149</v>
      </c>
      <c r="D56" t="s">
        <v>50</v>
      </c>
      <c r="E56" t="s">
        <v>32</v>
      </c>
      <c r="F56" t="s">
        <v>19</v>
      </c>
      <c r="G56" t="s">
        <v>20</v>
      </c>
      <c r="H56">
        <v>1</v>
      </c>
      <c r="I56">
        <v>274.63</v>
      </c>
      <c r="J56">
        <v>0.2</v>
      </c>
      <c r="K56">
        <v>219.7</v>
      </c>
      <c r="L56">
        <v>170</v>
      </c>
      <c r="M56">
        <v>49.7</v>
      </c>
      <c r="N56" t="s">
        <v>38</v>
      </c>
      <c r="O56" t="s">
        <v>22</v>
      </c>
    </row>
    <row r="57" spans="1:15" x14ac:dyDescent="0.35">
      <c r="A57" t="s">
        <v>150</v>
      </c>
      <c r="B57" s="1">
        <v>45874</v>
      </c>
      <c r="C57" t="s">
        <v>151</v>
      </c>
      <c r="D57" t="s">
        <v>50</v>
      </c>
      <c r="E57" t="s">
        <v>32</v>
      </c>
      <c r="F57" t="s">
        <v>67</v>
      </c>
      <c r="G57" t="s">
        <v>37</v>
      </c>
      <c r="H57">
        <v>2</v>
      </c>
      <c r="I57">
        <v>75.95</v>
      </c>
      <c r="J57">
        <v>0.1</v>
      </c>
      <c r="K57">
        <v>136.71</v>
      </c>
      <c r="L57">
        <v>80</v>
      </c>
      <c r="M57">
        <v>56.71</v>
      </c>
      <c r="N57" t="s">
        <v>38</v>
      </c>
      <c r="O57" t="s">
        <v>28</v>
      </c>
    </row>
    <row r="58" spans="1:15" x14ac:dyDescent="0.35">
      <c r="A58" t="s">
        <v>152</v>
      </c>
      <c r="B58" s="1">
        <v>45676</v>
      </c>
      <c r="C58" t="s">
        <v>153</v>
      </c>
      <c r="D58" t="s">
        <v>45</v>
      </c>
      <c r="E58" t="s">
        <v>46</v>
      </c>
      <c r="F58" t="s">
        <v>78</v>
      </c>
      <c r="G58" t="s">
        <v>20</v>
      </c>
      <c r="H58">
        <v>2</v>
      </c>
      <c r="I58">
        <v>328.55</v>
      </c>
      <c r="J58">
        <v>0</v>
      </c>
      <c r="K58">
        <v>657.1</v>
      </c>
      <c r="L58">
        <v>400</v>
      </c>
      <c r="M58">
        <v>257.10000000000002</v>
      </c>
      <c r="N58" t="s">
        <v>38</v>
      </c>
      <c r="O58" t="s">
        <v>22</v>
      </c>
    </row>
    <row r="59" spans="1:15" x14ac:dyDescent="0.35">
      <c r="A59" t="s">
        <v>154</v>
      </c>
      <c r="B59" s="1">
        <v>45658</v>
      </c>
      <c r="C59" t="s">
        <v>149</v>
      </c>
      <c r="D59" t="s">
        <v>58</v>
      </c>
      <c r="E59" t="s">
        <v>18</v>
      </c>
      <c r="F59" t="s">
        <v>19</v>
      </c>
      <c r="G59" t="s">
        <v>20</v>
      </c>
      <c r="H59">
        <v>1</v>
      </c>
      <c r="I59">
        <v>278.33</v>
      </c>
      <c r="J59">
        <v>0</v>
      </c>
      <c r="K59">
        <v>278.33</v>
      </c>
      <c r="L59">
        <v>170</v>
      </c>
      <c r="M59">
        <v>108.33</v>
      </c>
      <c r="N59" t="s">
        <v>47</v>
      </c>
      <c r="O59" t="s">
        <v>22</v>
      </c>
    </row>
    <row r="60" spans="1:15" x14ac:dyDescent="0.35">
      <c r="A60" t="s">
        <v>155</v>
      </c>
      <c r="B60" s="1">
        <v>45830</v>
      </c>
      <c r="C60" t="s">
        <v>156</v>
      </c>
      <c r="D60" t="s">
        <v>25</v>
      </c>
      <c r="E60" t="s">
        <v>26</v>
      </c>
      <c r="F60" t="s">
        <v>19</v>
      </c>
      <c r="G60" t="s">
        <v>20</v>
      </c>
      <c r="H60">
        <v>1</v>
      </c>
      <c r="I60">
        <v>280.12</v>
      </c>
      <c r="J60">
        <v>0.15</v>
      </c>
      <c r="K60">
        <v>238.1</v>
      </c>
      <c r="L60">
        <v>170</v>
      </c>
      <c r="M60">
        <v>68.099999999999994</v>
      </c>
      <c r="N60" t="s">
        <v>21</v>
      </c>
      <c r="O60" t="s">
        <v>42</v>
      </c>
    </row>
    <row r="61" spans="1:15" x14ac:dyDescent="0.35">
      <c r="A61" t="s">
        <v>157</v>
      </c>
      <c r="B61" s="1">
        <v>45677</v>
      </c>
      <c r="C61" t="s">
        <v>99</v>
      </c>
      <c r="D61" t="s">
        <v>60</v>
      </c>
      <c r="E61" t="s">
        <v>61</v>
      </c>
      <c r="F61" t="s">
        <v>108</v>
      </c>
      <c r="G61" t="s">
        <v>37</v>
      </c>
      <c r="H61">
        <v>1</v>
      </c>
      <c r="I61">
        <v>415.08</v>
      </c>
      <c r="J61">
        <v>0</v>
      </c>
      <c r="K61">
        <v>415.08</v>
      </c>
      <c r="L61">
        <v>280</v>
      </c>
      <c r="M61">
        <v>135.08000000000001</v>
      </c>
      <c r="N61" t="s">
        <v>38</v>
      </c>
      <c r="O61" t="s">
        <v>28</v>
      </c>
    </row>
    <row r="62" spans="1:15" x14ac:dyDescent="0.35">
      <c r="A62" t="s">
        <v>158</v>
      </c>
      <c r="B62" s="1">
        <v>45669</v>
      </c>
      <c r="C62" t="s">
        <v>147</v>
      </c>
      <c r="D62" t="s">
        <v>66</v>
      </c>
      <c r="E62" t="s">
        <v>61</v>
      </c>
      <c r="F62" t="s">
        <v>27</v>
      </c>
      <c r="G62" t="s">
        <v>20</v>
      </c>
      <c r="H62">
        <v>1</v>
      </c>
      <c r="I62">
        <v>183.14</v>
      </c>
      <c r="J62">
        <v>0</v>
      </c>
      <c r="K62">
        <v>183.14</v>
      </c>
      <c r="L62">
        <v>110</v>
      </c>
      <c r="M62">
        <v>73.14</v>
      </c>
      <c r="N62" t="s">
        <v>21</v>
      </c>
      <c r="O62" t="s">
        <v>28</v>
      </c>
    </row>
    <row r="63" spans="1:15" x14ac:dyDescent="0.35">
      <c r="A63" t="s">
        <v>159</v>
      </c>
      <c r="B63" s="1">
        <v>45843</v>
      </c>
      <c r="C63" t="s">
        <v>160</v>
      </c>
      <c r="D63" t="s">
        <v>17</v>
      </c>
      <c r="E63" t="s">
        <v>18</v>
      </c>
      <c r="F63" t="s">
        <v>108</v>
      </c>
      <c r="G63" t="s">
        <v>37</v>
      </c>
      <c r="H63">
        <v>1</v>
      </c>
      <c r="I63">
        <v>413.19</v>
      </c>
      <c r="J63">
        <v>0</v>
      </c>
      <c r="K63">
        <v>413.19</v>
      </c>
      <c r="L63">
        <v>280</v>
      </c>
      <c r="M63">
        <v>133.19</v>
      </c>
      <c r="N63" t="s">
        <v>21</v>
      </c>
      <c r="O63" t="s">
        <v>22</v>
      </c>
    </row>
    <row r="64" spans="1:15" x14ac:dyDescent="0.35">
      <c r="A64" t="s">
        <v>161</v>
      </c>
      <c r="B64" s="1">
        <v>45877</v>
      </c>
      <c r="C64" t="s">
        <v>162</v>
      </c>
      <c r="D64" t="s">
        <v>25</v>
      </c>
      <c r="E64" t="s">
        <v>26</v>
      </c>
      <c r="F64" t="s">
        <v>19</v>
      </c>
      <c r="G64" t="s">
        <v>20</v>
      </c>
      <c r="H64">
        <v>1</v>
      </c>
      <c r="I64">
        <v>294.87</v>
      </c>
      <c r="J64">
        <v>0</v>
      </c>
      <c r="K64">
        <v>294.87</v>
      </c>
      <c r="L64">
        <v>170</v>
      </c>
      <c r="M64">
        <v>124.87</v>
      </c>
      <c r="N64" t="s">
        <v>47</v>
      </c>
      <c r="O64" t="s">
        <v>28</v>
      </c>
    </row>
    <row r="65" spans="1:15" x14ac:dyDescent="0.35">
      <c r="A65" t="s">
        <v>163</v>
      </c>
      <c r="B65" s="1">
        <v>45969</v>
      </c>
      <c r="C65" t="s">
        <v>164</v>
      </c>
      <c r="D65" t="s">
        <v>31</v>
      </c>
      <c r="E65" t="s">
        <v>32</v>
      </c>
      <c r="F65" t="s">
        <v>108</v>
      </c>
      <c r="G65" t="s">
        <v>37</v>
      </c>
      <c r="H65">
        <v>3</v>
      </c>
      <c r="I65">
        <v>421.45</v>
      </c>
      <c r="J65">
        <v>0</v>
      </c>
      <c r="K65">
        <v>1264.3499999999999</v>
      </c>
      <c r="L65">
        <v>840</v>
      </c>
      <c r="M65">
        <v>424.35</v>
      </c>
      <c r="N65" t="s">
        <v>33</v>
      </c>
      <c r="O65" t="s">
        <v>28</v>
      </c>
    </row>
    <row r="66" spans="1:15" x14ac:dyDescent="0.35">
      <c r="A66" t="s">
        <v>165</v>
      </c>
      <c r="B66" s="1">
        <v>45998</v>
      </c>
      <c r="C66" t="s">
        <v>164</v>
      </c>
      <c r="D66" t="s">
        <v>66</v>
      </c>
      <c r="E66" t="s">
        <v>61</v>
      </c>
      <c r="F66" t="s">
        <v>51</v>
      </c>
      <c r="G66" t="s">
        <v>37</v>
      </c>
      <c r="H66">
        <v>2</v>
      </c>
      <c r="I66">
        <v>245.76</v>
      </c>
      <c r="J66">
        <v>0.1</v>
      </c>
      <c r="K66">
        <v>442.37</v>
      </c>
      <c r="L66">
        <v>300</v>
      </c>
      <c r="M66">
        <v>142.37</v>
      </c>
      <c r="N66" t="s">
        <v>21</v>
      </c>
      <c r="O66" t="s">
        <v>28</v>
      </c>
    </row>
    <row r="67" spans="1:15" x14ac:dyDescent="0.35">
      <c r="A67" t="s">
        <v>166</v>
      </c>
      <c r="B67" s="1">
        <v>45968</v>
      </c>
      <c r="C67" t="s">
        <v>167</v>
      </c>
      <c r="D67" t="s">
        <v>31</v>
      </c>
      <c r="E67" t="s">
        <v>32</v>
      </c>
      <c r="F67" t="s">
        <v>67</v>
      </c>
      <c r="G67" t="s">
        <v>37</v>
      </c>
      <c r="H67">
        <v>4</v>
      </c>
      <c r="I67">
        <v>80.97</v>
      </c>
      <c r="J67">
        <v>0.2</v>
      </c>
      <c r="K67">
        <v>259.10000000000002</v>
      </c>
      <c r="L67">
        <v>160</v>
      </c>
      <c r="M67">
        <v>99.1</v>
      </c>
      <c r="N67" t="s">
        <v>33</v>
      </c>
      <c r="O67" t="s">
        <v>22</v>
      </c>
    </row>
    <row r="68" spans="1:15" x14ac:dyDescent="0.35">
      <c r="A68" t="s">
        <v>168</v>
      </c>
      <c r="B68" s="1">
        <v>45802</v>
      </c>
      <c r="C68" t="s">
        <v>49</v>
      </c>
      <c r="D68" t="s">
        <v>50</v>
      </c>
      <c r="E68" t="s">
        <v>32</v>
      </c>
      <c r="F68" t="s">
        <v>78</v>
      </c>
      <c r="G68" t="s">
        <v>20</v>
      </c>
      <c r="H68">
        <v>1</v>
      </c>
      <c r="I68">
        <v>320.36</v>
      </c>
      <c r="J68">
        <v>0</v>
      </c>
      <c r="K68">
        <v>320.36</v>
      </c>
      <c r="L68">
        <v>200</v>
      </c>
      <c r="M68">
        <v>120.36</v>
      </c>
      <c r="N68" t="s">
        <v>33</v>
      </c>
      <c r="O68" t="s">
        <v>42</v>
      </c>
    </row>
    <row r="69" spans="1:15" x14ac:dyDescent="0.35">
      <c r="A69" t="s">
        <v>169</v>
      </c>
      <c r="B69" s="1">
        <v>45691</v>
      </c>
      <c r="C69" t="s">
        <v>170</v>
      </c>
      <c r="D69" t="s">
        <v>17</v>
      </c>
      <c r="E69" t="s">
        <v>18</v>
      </c>
      <c r="F69" t="s">
        <v>51</v>
      </c>
      <c r="G69" t="s">
        <v>37</v>
      </c>
      <c r="H69">
        <v>1</v>
      </c>
      <c r="I69">
        <v>244.23</v>
      </c>
      <c r="J69">
        <v>0.05</v>
      </c>
      <c r="K69">
        <v>232.02</v>
      </c>
      <c r="L69">
        <v>150</v>
      </c>
      <c r="M69">
        <v>82.02</v>
      </c>
      <c r="N69" t="s">
        <v>21</v>
      </c>
      <c r="O69" t="s">
        <v>22</v>
      </c>
    </row>
    <row r="70" spans="1:15" x14ac:dyDescent="0.35">
      <c r="A70" t="s">
        <v>171</v>
      </c>
      <c r="B70" s="1">
        <v>45893</v>
      </c>
      <c r="C70" t="s">
        <v>172</v>
      </c>
      <c r="D70" t="s">
        <v>50</v>
      </c>
      <c r="E70" t="s">
        <v>32</v>
      </c>
      <c r="F70" t="s">
        <v>78</v>
      </c>
      <c r="G70" t="s">
        <v>20</v>
      </c>
      <c r="H70">
        <v>4</v>
      </c>
      <c r="I70">
        <v>314.41000000000003</v>
      </c>
      <c r="J70">
        <v>0</v>
      </c>
      <c r="K70">
        <v>1257.6400000000001</v>
      </c>
      <c r="L70">
        <v>800</v>
      </c>
      <c r="M70">
        <v>457.64</v>
      </c>
      <c r="N70" t="s">
        <v>38</v>
      </c>
      <c r="O70" t="s">
        <v>42</v>
      </c>
    </row>
    <row r="71" spans="1:15" x14ac:dyDescent="0.35">
      <c r="A71" t="s">
        <v>173</v>
      </c>
      <c r="B71" s="1">
        <v>45723</v>
      </c>
      <c r="C71" t="s">
        <v>174</v>
      </c>
      <c r="D71" t="s">
        <v>58</v>
      </c>
      <c r="E71" t="s">
        <v>18</v>
      </c>
      <c r="F71" t="s">
        <v>36</v>
      </c>
      <c r="G71" t="s">
        <v>37</v>
      </c>
      <c r="H71">
        <v>5</v>
      </c>
      <c r="I71">
        <v>129.30000000000001</v>
      </c>
      <c r="J71">
        <v>0.05</v>
      </c>
      <c r="K71">
        <v>614.16999999999996</v>
      </c>
      <c r="L71">
        <v>300</v>
      </c>
      <c r="M71">
        <v>314.17</v>
      </c>
      <c r="N71" t="s">
        <v>38</v>
      </c>
      <c r="O71" t="s">
        <v>42</v>
      </c>
    </row>
    <row r="72" spans="1:15" x14ac:dyDescent="0.35">
      <c r="A72" t="s">
        <v>175</v>
      </c>
      <c r="B72" s="1">
        <v>45965</v>
      </c>
      <c r="C72" t="s">
        <v>88</v>
      </c>
      <c r="D72" t="s">
        <v>60</v>
      </c>
      <c r="E72" t="s">
        <v>61</v>
      </c>
      <c r="F72" t="s">
        <v>78</v>
      </c>
      <c r="G72" t="s">
        <v>20</v>
      </c>
      <c r="H72">
        <v>2</v>
      </c>
      <c r="I72">
        <v>321.33999999999997</v>
      </c>
      <c r="J72">
        <v>0.15</v>
      </c>
      <c r="K72">
        <v>546.28</v>
      </c>
      <c r="L72">
        <v>400</v>
      </c>
      <c r="M72">
        <v>146.28</v>
      </c>
      <c r="N72" t="s">
        <v>38</v>
      </c>
      <c r="O72" t="s">
        <v>42</v>
      </c>
    </row>
    <row r="73" spans="1:15" x14ac:dyDescent="0.35">
      <c r="A73" t="s">
        <v>176</v>
      </c>
      <c r="B73" s="1">
        <v>45795</v>
      </c>
      <c r="C73" t="s">
        <v>177</v>
      </c>
      <c r="D73" t="s">
        <v>25</v>
      </c>
      <c r="E73" t="s">
        <v>26</v>
      </c>
      <c r="F73" t="s">
        <v>41</v>
      </c>
      <c r="G73" t="s">
        <v>37</v>
      </c>
      <c r="H73">
        <v>2</v>
      </c>
      <c r="I73">
        <v>858.23</v>
      </c>
      <c r="J73">
        <v>0</v>
      </c>
      <c r="K73">
        <v>1716.46</v>
      </c>
      <c r="L73">
        <v>1200</v>
      </c>
      <c r="M73">
        <v>516.46</v>
      </c>
      <c r="N73" t="s">
        <v>47</v>
      </c>
      <c r="O73" t="s">
        <v>28</v>
      </c>
    </row>
    <row r="74" spans="1:15" x14ac:dyDescent="0.35">
      <c r="A74" t="s">
        <v>178</v>
      </c>
      <c r="B74" s="1">
        <v>45892</v>
      </c>
      <c r="C74" t="s">
        <v>179</v>
      </c>
      <c r="D74" t="s">
        <v>58</v>
      </c>
      <c r="E74" t="s">
        <v>18</v>
      </c>
      <c r="F74" t="s">
        <v>27</v>
      </c>
      <c r="G74" t="s">
        <v>20</v>
      </c>
      <c r="H74">
        <v>2</v>
      </c>
      <c r="I74">
        <v>191.86</v>
      </c>
      <c r="J74">
        <v>0.05</v>
      </c>
      <c r="K74">
        <v>364.53</v>
      </c>
      <c r="L74">
        <v>220</v>
      </c>
      <c r="M74">
        <v>144.53</v>
      </c>
      <c r="N74" t="s">
        <v>47</v>
      </c>
      <c r="O74" t="s">
        <v>42</v>
      </c>
    </row>
    <row r="75" spans="1:15" x14ac:dyDescent="0.35">
      <c r="A75" t="s">
        <v>180</v>
      </c>
      <c r="B75" s="1">
        <v>46017</v>
      </c>
      <c r="C75" t="s">
        <v>181</v>
      </c>
      <c r="D75" t="s">
        <v>17</v>
      </c>
      <c r="E75" t="s">
        <v>18</v>
      </c>
      <c r="F75" t="s">
        <v>27</v>
      </c>
      <c r="G75" t="s">
        <v>20</v>
      </c>
      <c r="H75">
        <v>2</v>
      </c>
      <c r="I75">
        <v>193.23</v>
      </c>
      <c r="J75">
        <v>0.1</v>
      </c>
      <c r="K75">
        <v>347.81</v>
      </c>
      <c r="L75">
        <v>220</v>
      </c>
      <c r="M75">
        <v>127.81</v>
      </c>
      <c r="N75" t="s">
        <v>21</v>
      </c>
      <c r="O75" t="s">
        <v>28</v>
      </c>
    </row>
    <row r="76" spans="1:15" x14ac:dyDescent="0.35">
      <c r="A76" t="s">
        <v>182</v>
      </c>
      <c r="B76" s="1">
        <v>45662</v>
      </c>
      <c r="C76" t="s">
        <v>183</v>
      </c>
      <c r="D76" t="s">
        <v>66</v>
      </c>
      <c r="E76" t="s">
        <v>61</v>
      </c>
      <c r="F76" t="s">
        <v>67</v>
      </c>
      <c r="G76" t="s">
        <v>37</v>
      </c>
      <c r="H76">
        <v>2</v>
      </c>
      <c r="I76">
        <v>76.599999999999994</v>
      </c>
      <c r="J76">
        <v>0</v>
      </c>
      <c r="K76">
        <v>153.19999999999999</v>
      </c>
      <c r="L76">
        <v>80</v>
      </c>
      <c r="M76">
        <v>73.2</v>
      </c>
      <c r="N76" t="s">
        <v>21</v>
      </c>
      <c r="O76" t="s">
        <v>22</v>
      </c>
    </row>
    <row r="77" spans="1:15" x14ac:dyDescent="0.35">
      <c r="A77" t="s">
        <v>184</v>
      </c>
      <c r="B77" s="1">
        <v>45735</v>
      </c>
      <c r="C77" t="s">
        <v>185</v>
      </c>
      <c r="D77" t="s">
        <v>66</v>
      </c>
      <c r="E77" t="s">
        <v>61</v>
      </c>
      <c r="F77" t="s">
        <v>19</v>
      </c>
      <c r="G77" t="s">
        <v>20</v>
      </c>
      <c r="H77">
        <v>2</v>
      </c>
      <c r="I77">
        <v>278.45</v>
      </c>
      <c r="J77">
        <v>0</v>
      </c>
      <c r="K77">
        <v>556.9</v>
      </c>
      <c r="L77">
        <v>340</v>
      </c>
      <c r="M77">
        <v>216.9</v>
      </c>
      <c r="N77" t="s">
        <v>33</v>
      </c>
      <c r="O77" t="s">
        <v>22</v>
      </c>
    </row>
    <row r="78" spans="1:15" x14ac:dyDescent="0.35">
      <c r="A78" t="s">
        <v>186</v>
      </c>
      <c r="B78" s="1">
        <v>45718</v>
      </c>
      <c r="C78" t="s">
        <v>187</v>
      </c>
      <c r="D78" t="s">
        <v>60</v>
      </c>
      <c r="E78" t="s">
        <v>61</v>
      </c>
      <c r="F78" t="s">
        <v>108</v>
      </c>
      <c r="G78" t="s">
        <v>37</v>
      </c>
      <c r="H78">
        <v>4</v>
      </c>
      <c r="I78">
        <v>431.61</v>
      </c>
      <c r="J78">
        <v>0</v>
      </c>
      <c r="K78">
        <v>1726.44</v>
      </c>
      <c r="L78">
        <v>1120</v>
      </c>
      <c r="M78">
        <v>606.44000000000005</v>
      </c>
      <c r="N78" t="s">
        <v>47</v>
      </c>
      <c r="O78" t="s">
        <v>22</v>
      </c>
    </row>
    <row r="79" spans="1:15" x14ac:dyDescent="0.35">
      <c r="A79" t="s">
        <v>188</v>
      </c>
      <c r="B79" s="1">
        <v>45671</v>
      </c>
      <c r="C79" t="s">
        <v>189</v>
      </c>
      <c r="D79" t="s">
        <v>66</v>
      </c>
      <c r="E79" t="s">
        <v>61</v>
      </c>
      <c r="F79" t="s">
        <v>67</v>
      </c>
      <c r="G79" t="s">
        <v>37</v>
      </c>
      <c r="H79">
        <v>2</v>
      </c>
      <c r="I79">
        <v>78.540000000000006</v>
      </c>
      <c r="J79">
        <v>0.05</v>
      </c>
      <c r="K79">
        <v>149.22999999999999</v>
      </c>
      <c r="L79">
        <v>80</v>
      </c>
      <c r="M79">
        <v>69.23</v>
      </c>
      <c r="N79" t="s">
        <v>21</v>
      </c>
      <c r="O79" t="s">
        <v>42</v>
      </c>
    </row>
    <row r="80" spans="1:15" x14ac:dyDescent="0.35">
      <c r="A80" t="s">
        <v>190</v>
      </c>
      <c r="B80" s="1">
        <v>45768</v>
      </c>
      <c r="C80" t="s">
        <v>191</v>
      </c>
      <c r="D80" t="s">
        <v>45</v>
      </c>
      <c r="E80" t="s">
        <v>46</v>
      </c>
      <c r="F80" t="s">
        <v>78</v>
      </c>
      <c r="G80" t="s">
        <v>20</v>
      </c>
      <c r="H80">
        <v>3</v>
      </c>
      <c r="I80">
        <v>345.39</v>
      </c>
      <c r="J80">
        <v>0</v>
      </c>
      <c r="K80">
        <v>1036.17</v>
      </c>
      <c r="L80">
        <v>600</v>
      </c>
      <c r="M80">
        <v>436.17</v>
      </c>
      <c r="N80" t="s">
        <v>47</v>
      </c>
      <c r="O80" t="s">
        <v>28</v>
      </c>
    </row>
    <row r="81" spans="1:15" x14ac:dyDescent="0.35">
      <c r="A81" t="s">
        <v>192</v>
      </c>
      <c r="B81" s="1">
        <v>45776</v>
      </c>
      <c r="C81" t="s">
        <v>193</v>
      </c>
      <c r="D81" t="s">
        <v>50</v>
      </c>
      <c r="E81" t="s">
        <v>32</v>
      </c>
      <c r="F81" t="s">
        <v>67</v>
      </c>
      <c r="G81" t="s">
        <v>37</v>
      </c>
      <c r="H81">
        <v>1</v>
      </c>
      <c r="I81">
        <v>73.31</v>
      </c>
      <c r="J81">
        <v>0</v>
      </c>
      <c r="K81">
        <v>73.31</v>
      </c>
      <c r="L81">
        <v>40</v>
      </c>
      <c r="M81">
        <v>33.31</v>
      </c>
      <c r="N81" t="s">
        <v>33</v>
      </c>
      <c r="O81" t="s">
        <v>42</v>
      </c>
    </row>
    <row r="82" spans="1:15" x14ac:dyDescent="0.35">
      <c r="A82" t="s">
        <v>194</v>
      </c>
      <c r="B82" s="1">
        <v>45725</v>
      </c>
      <c r="C82" t="s">
        <v>195</v>
      </c>
      <c r="D82" t="s">
        <v>66</v>
      </c>
      <c r="E82" t="s">
        <v>61</v>
      </c>
      <c r="F82" t="s">
        <v>36</v>
      </c>
      <c r="G82" t="s">
        <v>37</v>
      </c>
      <c r="H82">
        <v>3</v>
      </c>
      <c r="I82">
        <v>123.11</v>
      </c>
      <c r="J82">
        <v>0.05</v>
      </c>
      <c r="K82">
        <v>350.86</v>
      </c>
      <c r="L82">
        <v>180</v>
      </c>
      <c r="M82">
        <v>170.86</v>
      </c>
      <c r="N82" t="s">
        <v>38</v>
      </c>
      <c r="O82" t="s">
        <v>28</v>
      </c>
    </row>
    <row r="83" spans="1:15" x14ac:dyDescent="0.35">
      <c r="A83" t="s">
        <v>196</v>
      </c>
      <c r="B83" s="1">
        <v>45740</v>
      </c>
      <c r="C83" t="s">
        <v>197</v>
      </c>
      <c r="D83" t="s">
        <v>66</v>
      </c>
      <c r="E83" t="s">
        <v>61</v>
      </c>
      <c r="F83" t="s">
        <v>41</v>
      </c>
      <c r="G83" t="s">
        <v>37</v>
      </c>
      <c r="H83">
        <v>2</v>
      </c>
      <c r="I83">
        <v>874.63</v>
      </c>
      <c r="J83">
        <v>0.15</v>
      </c>
      <c r="K83">
        <v>1486.87</v>
      </c>
      <c r="L83">
        <v>1200</v>
      </c>
      <c r="M83">
        <v>286.87</v>
      </c>
      <c r="N83" t="s">
        <v>47</v>
      </c>
      <c r="O83" t="s">
        <v>28</v>
      </c>
    </row>
    <row r="84" spans="1:15" x14ac:dyDescent="0.35">
      <c r="A84" t="s">
        <v>198</v>
      </c>
      <c r="B84" s="1">
        <v>45807</v>
      </c>
      <c r="C84" t="s">
        <v>199</v>
      </c>
      <c r="D84" t="s">
        <v>50</v>
      </c>
      <c r="E84" t="s">
        <v>32</v>
      </c>
      <c r="F84" t="s">
        <v>78</v>
      </c>
      <c r="G84" t="s">
        <v>20</v>
      </c>
      <c r="H84">
        <v>2</v>
      </c>
      <c r="I84">
        <v>344.7</v>
      </c>
      <c r="J84">
        <v>0.05</v>
      </c>
      <c r="K84">
        <v>654.92999999999995</v>
      </c>
      <c r="L84">
        <v>400</v>
      </c>
      <c r="M84">
        <v>254.93</v>
      </c>
      <c r="N84" t="s">
        <v>21</v>
      </c>
      <c r="O84" t="s">
        <v>28</v>
      </c>
    </row>
    <row r="85" spans="1:15" x14ac:dyDescent="0.35">
      <c r="A85" t="s">
        <v>200</v>
      </c>
      <c r="B85" s="1">
        <v>45886</v>
      </c>
      <c r="C85" t="s">
        <v>201</v>
      </c>
      <c r="D85" t="s">
        <v>17</v>
      </c>
      <c r="E85" t="s">
        <v>18</v>
      </c>
      <c r="F85" t="s">
        <v>27</v>
      </c>
      <c r="G85" t="s">
        <v>20</v>
      </c>
      <c r="H85">
        <v>1</v>
      </c>
      <c r="I85">
        <v>204.45</v>
      </c>
      <c r="J85">
        <v>0</v>
      </c>
      <c r="K85">
        <v>204.45</v>
      </c>
      <c r="L85">
        <v>110</v>
      </c>
      <c r="M85">
        <v>94.45</v>
      </c>
      <c r="N85" t="s">
        <v>38</v>
      </c>
      <c r="O85" t="s">
        <v>28</v>
      </c>
    </row>
    <row r="86" spans="1:15" x14ac:dyDescent="0.35">
      <c r="A86" t="s">
        <v>202</v>
      </c>
      <c r="B86" s="1">
        <v>45719</v>
      </c>
      <c r="C86" t="s">
        <v>90</v>
      </c>
      <c r="D86" t="s">
        <v>60</v>
      </c>
      <c r="E86" t="s">
        <v>61</v>
      </c>
      <c r="F86" t="s">
        <v>108</v>
      </c>
      <c r="G86" t="s">
        <v>37</v>
      </c>
      <c r="H86">
        <v>3</v>
      </c>
      <c r="I86">
        <v>414.29</v>
      </c>
      <c r="J86">
        <v>0.05</v>
      </c>
      <c r="K86">
        <v>1180.73</v>
      </c>
      <c r="L86">
        <v>840</v>
      </c>
      <c r="M86">
        <v>340.73</v>
      </c>
      <c r="N86" t="s">
        <v>21</v>
      </c>
      <c r="O86" t="s">
        <v>28</v>
      </c>
    </row>
    <row r="87" spans="1:15" x14ac:dyDescent="0.35">
      <c r="A87" t="s">
        <v>203</v>
      </c>
      <c r="B87" s="1">
        <v>45932</v>
      </c>
      <c r="C87" t="s">
        <v>204</v>
      </c>
      <c r="D87" t="s">
        <v>17</v>
      </c>
      <c r="E87" t="s">
        <v>18</v>
      </c>
      <c r="F87" t="s">
        <v>41</v>
      </c>
      <c r="G87" t="s">
        <v>37</v>
      </c>
      <c r="H87">
        <v>3</v>
      </c>
      <c r="I87">
        <v>885.65</v>
      </c>
      <c r="J87">
        <v>0.05</v>
      </c>
      <c r="K87">
        <v>2524.1</v>
      </c>
      <c r="L87">
        <v>1800</v>
      </c>
      <c r="M87">
        <v>724.1</v>
      </c>
      <c r="N87" t="s">
        <v>47</v>
      </c>
      <c r="O87" t="s">
        <v>28</v>
      </c>
    </row>
    <row r="88" spans="1:15" x14ac:dyDescent="0.35">
      <c r="A88" t="s">
        <v>205</v>
      </c>
      <c r="B88" s="1">
        <v>46013</v>
      </c>
      <c r="C88" t="s">
        <v>206</v>
      </c>
      <c r="D88" t="s">
        <v>50</v>
      </c>
      <c r="E88" t="s">
        <v>32</v>
      </c>
      <c r="F88" t="s">
        <v>36</v>
      </c>
      <c r="G88" t="s">
        <v>37</v>
      </c>
      <c r="H88">
        <v>3</v>
      </c>
      <c r="I88">
        <v>121.09</v>
      </c>
      <c r="J88">
        <v>0</v>
      </c>
      <c r="K88">
        <v>363.27</v>
      </c>
      <c r="L88">
        <v>180</v>
      </c>
      <c r="M88">
        <v>183.27</v>
      </c>
      <c r="N88" t="s">
        <v>47</v>
      </c>
      <c r="O88" t="s">
        <v>28</v>
      </c>
    </row>
    <row r="89" spans="1:15" x14ac:dyDescent="0.35">
      <c r="A89" t="s">
        <v>207</v>
      </c>
      <c r="B89" s="1">
        <v>45825</v>
      </c>
      <c r="C89" t="s">
        <v>208</v>
      </c>
      <c r="D89" t="s">
        <v>66</v>
      </c>
      <c r="E89" t="s">
        <v>61</v>
      </c>
      <c r="F89" t="s">
        <v>67</v>
      </c>
      <c r="G89" t="s">
        <v>37</v>
      </c>
      <c r="H89">
        <v>1</v>
      </c>
      <c r="I89">
        <v>78.66</v>
      </c>
      <c r="J89">
        <v>0.05</v>
      </c>
      <c r="K89">
        <v>74.73</v>
      </c>
      <c r="L89">
        <v>40</v>
      </c>
      <c r="M89">
        <v>34.729999999999997</v>
      </c>
      <c r="N89" t="s">
        <v>47</v>
      </c>
      <c r="O89" t="s">
        <v>28</v>
      </c>
    </row>
    <row r="90" spans="1:15" x14ac:dyDescent="0.35">
      <c r="A90" t="s">
        <v>209</v>
      </c>
      <c r="B90" s="1">
        <v>45751</v>
      </c>
      <c r="C90" t="s">
        <v>210</v>
      </c>
      <c r="D90" t="s">
        <v>45</v>
      </c>
      <c r="E90" t="s">
        <v>46</v>
      </c>
      <c r="F90" t="s">
        <v>41</v>
      </c>
      <c r="G90" t="s">
        <v>37</v>
      </c>
      <c r="H90">
        <v>4</v>
      </c>
      <c r="I90">
        <v>852.64</v>
      </c>
      <c r="J90">
        <v>0.1</v>
      </c>
      <c r="K90">
        <v>3069.5</v>
      </c>
      <c r="L90">
        <v>2400</v>
      </c>
      <c r="M90">
        <v>669.5</v>
      </c>
      <c r="N90" t="s">
        <v>21</v>
      </c>
      <c r="O90" t="s">
        <v>28</v>
      </c>
    </row>
    <row r="91" spans="1:15" x14ac:dyDescent="0.35">
      <c r="A91" t="s">
        <v>211</v>
      </c>
      <c r="B91" s="1">
        <v>45658</v>
      </c>
      <c r="C91" t="s">
        <v>212</v>
      </c>
      <c r="D91" t="s">
        <v>25</v>
      </c>
      <c r="E91" t="s">
        <v>26</v>
      </c>
      <c r="F91" t="s">
        <v>27</v>
      </c>
      <c r="G91" t="s">
        <v>20</v>
      </c>
      <c r="H91">
        <v>3</v>
      </c>
      <c r="I91">
        <v>183.95</v>
      </c>
      <c r="J91">
        <v>0.1</v>
      </c>
      <c r="K91">
        <v>496.66</v>
      </c>
      <c r="L91">
        <v>330</v>
      </c>
      <c r="M91">
        <v>166.66</v>
      </c>
      <c r="N91" t="s">
        <v>21</v>
      </c>
      <c r="O91" t="s">
        <v>28</v>
      </c>
    </row>
    <row r="92" spans="1:15" x14ac:dyDescent="0.35">
      <c r="A92" t="s">
        <v>213</v>
      </c>
      <c r="B92" s="1">
        <v>45870</v>
      </c>
      <c r="C92" t="s">
        <v>214</v>
      </c>
      <c r="D92" t="s">
        <v>50</v>
      </c>
      <c r="E92" t="s">
        <v>32</v>
      </c>
      <c r="F92" t="s">
        <v>19</v>
      </c>
      <c r="G92" t="s">
        <v>20</v>
      </c>
      <c r="H92">
        <v>1</v>
      </c>
      <c r="I92">
        <v>293.70999999999998</v>
      </c>
      <c r="J92">
        <v>0.05</v>
      </c>
      <c r="K92">
        <v>279.02</v>
      </c>
      <c r="L92">
        <v>170</v>
      </c>
      <c r="M92">
        <v>109.02</v>
      </c>
      <c r="N92" t="s">
        <v>47</v>
      </c>
      <c r="O92" t="s">
        <v>22</v>
      </c>
    </row>
    <row r="93" spans="1:15" x14ac:dyDescent="0.35">
      <c r="A93" t="s">
        <v>215</v>
      </c>
      <c r="B93" s="1">
        <v>45952</v>
      </c>
      <c r="C93" t="s">
        <v>216</v>
      </c>
      <c r="D93" t="s">
        <v>25</v>
      </c>
      <c r="E93" t="s">
        <v>26</v>
      </c>
      <c r="F93" t="s">
        <v>78</v>
      </c>
      <c r="G93" t="s">
        <v>20</v>
      </c>
      <c r="H93">
        <v>5</v>
      </c>
      <c r="I93">
        <v>331.56</v>
      </c>
      <c r="J93">
        <v>0.05</v>
      </c>
      <c r="K93">
        <v>1574.91</v>
      </c>
      <c r="L93">
        <v>1000</v>
      </c>
      <c r="M93">
        <v>574.91</v>
      </c>
      <c r="N93" t="s">
        <v>21</v>
      </c>
      <c r="O93" t="s">
        <v>22</v>
      </c>
    </row>
    <row r="94" spans="1:15" x14ac:dyDescent="0.35">
      <c r="A94" t="s">
        <v>217</v>
      </c>
      <c r="B94" s="1">
        <v>45966</v>
      </c>
      <c r="C94" t="s">
        <v>218</v>
      </c>
      <c r="D94" t="s">
        <v>25</v>
      </c>
      <c r="E94" t="s">
        <v>26</v>
      </c>
      <c r="F94" t="s">
        <v>27</v>
      </c>
      <c r="G94" t="s">
        <v>20</v>
      </c>
      <c r="H94">
        <v>3</v>
      </c>
      <c r="I94">
        <v>203.71</v>
      </c>
      <c r="J94">
        <v>0</v>
      </c>
      <c r="K94">
        <v>611.13</v>
      </c>
      <c r="L94">
        <v>330</v>
      </c>
      <c r="M94">
        <v>281.13</v>
      </c>
      <c r="N94" t="s">
        <v>21</v>
      </c>
      <c r="O94" t="s">
        <v>28</v>
      </c>
    </row>
    <row r="95" spans="1:15" x14ac:dyDescent="0.35">
      <c r="A95" t="s">
        <v>219</v>
      </c>
      <c r="B95" s="1">
        <v>45672</v>
      </c>
      <c r="C95" t="s">
        <v>220</v>
      </c>
      <c r="D95" t="s">
        <v>45</v>
      </c>
      <c r="E95" t="s">
        <v>46</v>
      </c>
      <c r="F95" t="s">
        <v>19</v>
      </c>
      <c r="G95" t="s">
        <v>20</v>
      </c>
      <c r="H95">
        <v>2</v>
      </c>
      <c r="I95">
        <v>281.74</v>
      </c>
      <c r="J95">
        <v>0.1</v>
      </c>
      <c r="K95">
        <v>507.13</v>
      </c>
      <c r="L95">
        <v>340</v>
      </c>
      <c r="M95">
        <v>167.13</v>
      </c>
      <c r="N95" t="s">
        <v>21</v>
      </c>
      <c r="O95" t="s">
        <v>28</v>
      </c>
    </row>
    <row r="96" spans="1:15" x14ac:dyDescent="0.35">
      <c r="A96" t="s">
        <v>221</v>
      </c>
      <c r="B96" s="1">
        <v>45946</v>
      </c>
      <c r="C96" t="s">
        <v>149</v>
      </c>
      <c r="D96" t="s">
        <v>31</v>
      </c>
      <c r="E96" t="s">
        <v>32</v>
      </c>
      <c r="F96" t="s">
        <v>67</v>
      </c>
      <c r="G96" t="s">
        <v>37</v>
      </c>
      <c r="H96">
        <v>3</v>
      </c>
      <c r="I96">
        <v>79.8</v>
      </c>
      <c r="J96">
        <v>0.1</v>
      </c>
      <c r="K96">
        <v>215.46</v>
      </c>
      <c r="L96">
        <v>120</v>
      </c>
      <c r="M96">
        <v>95.46</v>
      </c>
      <c r="N96" t="s">
        <v>38</v>
      </c>
      <c r="O96" t="s">
        <v>28</v>
      </c>
    </row>
    <row r="97" spans="1:15" x14ac:dyDescent="0.35">
      <c r="A97" t="s">
        <v>222</v>
      </c>
      <c r="B97" s="1">
        <v>45885</v>
      </c>
      <c r="C97" t="s">
        <v>223</v>
      </c>
      <c r="D97" t="s">
        <v>50</v>
      </c>
      <c r="E97" t="s">
        <v>32</v>
      </c>
      <c r="F97" t="s">
        <v>27</v>
      </c>
      <c r="G97" t="s">
        <v>20</v>
      </c>
      <c r="H97">
        <v>3</v>
      </c>
      <c r="I97">
        <v>193.83</v>
      </c>
      <c r="J97">
        <v>0.05</v>
      </c>
      <c r="K97">
        <v>552.41999999999996</v>
      </c>
      <c r="L97">
        <v>330</v>
      </c>
      <c r="M97">
        <v>222.42</v>
      </c>
      <c r="N97" t="s">
        <v>38</v>
      </c>
      <c r="O97" t="s">
        <v>42</v>
      </c>
    </row>
    <row r="98" spans="1:15" x14ac:dyDescent="0.35">
      <c r="A98" t="s">
        <v>224</v>
      </c>
      <c r="B98" s="1">
        <v>45752</v>
      </c>
      <c r="C98" t="s">
        <v>225</v>
      </c>
      <c r="D98" t="s">
        <v>58</v>
      </c>
      <c r="E98" t="s">
        <v>18</v>
      </c>
      <c r="F98" t="s">
        <v>36</v>
      </c>
      <c r="G98" t="s">
        <v>37</v>
      </c>
      <c r="H98">
        <v>3</v>
      </c>
      <c r="I98">
        <v>123.34</v>
      </c>
      <c r="J98">
        <v>0.1</v>
      </c>
      <c r="K98">
        <v>333.02</v>
      </c>
      <c r="L98">
        <v>180</v>
      </c>
      <c r="M98">
        <v>153.02000000000001</v>
      </c>
      <c r="N98" t="s">
        <v>33</v>
      </c>
      <c r="O98" t="s">
        <v>28</v>
      </c>
    </row>
    <row r="99" spans="1:15" x14ac:dyDescent="0.35">
      <c r="A99" t="s">
        <v>226</v>
      </c>
      <c r="B99" s="1">
        <v>45791</v>
      </c>
      <c r="C99" t="s">
        <v>227</v>
      </c>
      <c r="D99" t="s">
        <v>25</v>
      </c>
      <c r="E99" t="s">
        <v>26</v>
      </c>
      <c r="F99" t="s">
        <v>51</v>
      </c>
      <c r="G99" t="s">
        <v>37</v>
      </c>
      <c r="H99">
        <v>2</v>
      </c>
      <c r="I99">
        <v>232.78</v>
      </c>
      <c r="J99">
        <v>0.15</v>
      </c>
      <c r="K99">
        <v>395.73</v>
      </c>
      <c r="L99">
        <v>300</v>
      </c>
      <c r="M99">
        <v>95.73</v>
      </c>
      <c r="N99" t="s">
        <v>47</v>
      </c>
      <c r="O99" t="s">
        <v>42</v>
      </c>
    </row>
    <row r="100" spans="1:15" x14ac:dyDescent="0.35">
      <c r="A100" t="s">
        <v>228</v>
      </c>
      <c r="B100" s="1">
        <v>45768</v>
      </c>
      <c r="C100" t="s">
        <v>229</v>
      </c>
      <c r="D100" t="s">
        <v>25</v>
      </c>
      <c r="E100" t="s">
        <v>26</v>
      </c>
      <c r="F100" t="s">
        <v>67</v>
      </c>
      <c r="G100" t="s">
        <v>37</v>
      </c>
      <c r="H100">
        <v>3</v>
      </c>
      <c r="I100">
        <v>80.209999999999994</v>
      </c>
      <c r="J100">
        <v>0</v>
      </c>
      <c r="K100">
        <v>240.63</v>
      </c>
      <c r="L100">
        <v>120</v>
      </c>
      <c r="M100">
        <v>120.63</v>
      </c>
      <c r="N100" t="s">
        <v>21</v>
      </c>
      <c r="O100" t="s">
        <v>42</v>
      </c>
    </row>
    <row r="101" spans="1:15" x14ac:dyDescent="0.35">
      <c r="A101" t="s">
        <v>230</v>
      </c>
      <c r="B101" s="1">
        <v>45749</v>
      </c>
      <c r="C101" t="s">
        <v>231</v>
      </c>
      <c r="D101" t="s">
        <v>45</v>
      </c>
      <c r="E101" t="s">
        <v>46</v>
      </c>
      <c r="F101" t="s">
        <v>108</v>
      </c>
      <c r="G101" t="s">
        <v>37</v>
      </c>
      <c r="H101">
        <v>1</v>
      </c>
      <c r="I101">
        <v>404.69</v>
      </c>
      <c r="J101">
        <v>0</v>
      </c>
      <c r="K101">
        <v>404.69</v>
      </c>
      <c r="L101">
        <v>280</v>
      </c>
      <c r="M101">
        <v>124.69</v>
      </c>
      <c r="N101" t="s">
        <v>33</v>
      </c>
      <c r="O101" t="s">
        <v>28</v>
      </c>
    </row>
    <row r="102" spans="1:15" x14ac:dyDescent="0.35">
      <c r="A102" t="s">
        <v>232</v>
      </c>
      <c r="B102" s="1">
        <v>45758</v>
      </c>
      <c r="C102" t="s">
        <v>233</v>
      </c>
      <c r="D102" t="s">
        <v>50</v>
      </c>
      <c r="E102" t="s">
        <v>32</v>
      </c>
      <c r="F102" t="s">
        <v>108</v>
      </c>
      <c r="G102" t="s">
        <v>37</v>
      </c>
      <c r="H102">
        <v>4</v>
      </c>
      <c r="I102">
        <v>449.28</v>
      </c>
      <c r="J102">
        <v>0</v>
      </c>
      <c r="K102">
        <v>1797.12</v>
      </c>
      <c r="L102">
        <v>1120</v>
      </c>
      <c r="M102">
        <v>677.12</v>
      </c>
      <c r="N102" t="s">
        <v>47</v>
      </c>
      <c r="O102" t="s">
        <v>28</v>
      </c>
    </row>
    <row r="103" spans="1:15" x14ac:dyDescent="0.35">
      <c r="A103" t="s">
        <v>234</v>
      </c>
      <c r="B103" s="1">
        <v>45966</v>
      </c>
      <c r="C103" t="s">
        <v>235</v>
      </c>
      <c r="D103" t="s">
        <v>60</v>
      </c>
      <c r="E103" t="s">
        <v>61</v>
      </c>
      <c r="F103" t="s">
        <v>108</v>
      </c>
      <c r="G103" t="s">
        <v>37</v>
      </c>
      <c r="H103">
        <v>4</v>
      </c>
      <c r="I103">
        <v>417.21</v>
      </c>
      <c r="J103">
        <v>0</v>
      </c>
      <c r="K103">
        <v>1668.84</v>
      </c>
      <c r="L103">
        <v>1120</v>
      </c>
      <c r="M103">
        <v>548.84</v>
      </c>
      <c r="N103" t="s">
        <v>33</v>
      </c>
      <c r="O103" t="s">
        <v>22</v>
      </c>
    </row>
    <row r="104" spans="1:15" x14ac:dyDescent="0.35">
      <c r="A104" t="s">
        <v>236</v>
      </c>
      <c r="B104" s="1">
        <v>45867</v>
      </c>
      <c r="C104" t="s">
        <v>69</v>
      </c>
      <c r="D104" t="s">
        <v>58</v>
      </c>
      <c r="E104" t="s">
        <v>18</v>
      </c>
      <c r="F104" t="s">
        <v>108</v>
      </c>
      <c r="G104" t="s">
        <v>37</v>
      </c>
      <c r="H104">
        <v>5</v>
      </c>
      <c r="I104">
        <v>400.79</v>
      </c>
      <c r="J104">
        <v>0.05</v>
      </c>
      <c r="K104">
        <v>1903.75</v>
      </c>
      <c r="L104">
        <v>1400</v>
      </c>
      <c r="M104">
        <v>503.75</v>
      </c>
      <c r="N104" t="s">
        <v>21</v>
      </c>
      <c r="O104" t="s">
        <v>28</v>
      </c>
    </row>
    <row r="105" spans="1:15" x14ac:dyDescent="0.35">
      <c r="A105" t="s">
        <v>237</v>
      </c>
      <c r="B105" s="1">
        <v>45855</v>
      </c>
      <c r="C105" t="s">
        <v>238</v>
      </c>
      <c r="D105" t="s">
        <v>50</v>
      </c>
      <c r="E105" t="s">
        <v>32</v>
      </c>
      <c r="F105" t="s">
        <v>27</v>
      </c>
      <c r="G105" t="s">
        <v>20</v>
      </c>
      <c r="H105">
        <v>2</v>
      </c>
      <c r="I105">
        <v>187.36</v>
      </c>
      <c r="J105">
        <v>0.1</v>
      </c>
      <c r="K105">
        <v>337.25</v>
      </c>
      <c r="L105">
        <v>220</v>
      </c>
      <c r="M105">
        <v>117.25</v>
      </c>
      <c r="N105" t="s">
        <v>47</v>
      </c>
      <c r="O105" t="s">
        <v>22</v>
      </c>
    </row>
    <row r="106" spans="1:15" x14ac:dyDescent="0.35">
      <c r="A106" t="s">
        <v>239</v>
      </c>
      <c r="B106" s="1">
        <v>46018</v>
      </c>
      <c r="C106" t="s">
        <v>240</v>
      </c>
      <c r="D106" t="s">
        <v>60</v>
      </c>
      <c r="E106" t="s">
        <v>61</v>
      </c>
      <c r="F106" t="s">
        <v>67</v>
      </c>
      <c r="G106" t="s">
        <v>37</v>
      </c>
      <c r="H106">
        <v>2</v>
      </c>
      <c r="I106">
        <v>80.97</v>
      </c>
      <c r="J106">
        <v>0</v>
      </c>
      <c r="K106">
        <v>161.94</v>
      </c>
      <c r="L106">
        <v>80</v>
      </c>
      <c r="M106">
        <v>81.94</v>
      </c>
      <c r="N106" t="s">
        <v>47</v>
      </c>
      <c r="O106" t="s">
        <v>28</v>
      </c>
    </row>
    <row r="107" spans="1:15" x14ac:dyDescent="0.35">
      <c r="A107" t="s">
        <v>241</v>
      </c>
      <c r="B107" s="1">
        <v>45872</v>
      </c>
      <c r="C107" t="s">
        <v>242</v>
      </c>
      <c r="D107" t="s">
        <v>58</v>
      </c>
      <c r="E107" t="s">
        <v>18</v>
      </c>
      <c r="F107" t="s">
        <v>36</v>
      </c>
      <c r="G107" t="s">
        <v>37</v>
      </c>
      <c r="H107">
        <v>4</v>
      </c>
      <c r="I107">
        <v>121.3</v>
      </c>
      <c r="J107">
        <v>0</v>
      </c>
      <c r="K107">
        <v>485.2</v>
      </c>
      <c r="L107">
        <v>240</v>
      </c>
      <c r="M107">
        <v>245.2</v>
      </c>
      <c r="N107" t="s">
        <v>21</v>
      </c>
      <c r="O107" t="s">
        <v>22</v>
      </c>
    </row>
    <row r="108" spans="1:15" x14ac:dyDescent="0.35">
      <c r="A108" t="s">
        <v>243</v>
      </c>
      <c r="B108" s="1">
        <v>45676</v>
      </c>
      <c r="C108" t="s">
        <v>244</v>
      </c>
      <c r="D108" t="s">
        <v>66</v>
      </c>
      <c r="E108" t="s">
        <v>61</v>
      </c>
      <c r="F108" t="s">
        <v>41</v>
      </c>
      <c r="G108" t="s">
        <v>37</v>
      </c>
      <c r="H108">
        <v>4</v>
      </c>
      <c r="I108">
        <v>865.45</v>
      </c>
      <c r="J108">
        <v>0.05</v>
      </c>
      <c r="K108">
        <v>3288.71</v>
      </c>
      <c r="L108">
        <v>2400</v>
      </c>
      <c r="M108">
        <v>888.71</v>
      </c>
      <c r="N108" t="s">
        <v>47</v>
      </c>
      <c r="O108" t="s">
        <v>42</v>
      </c>
    </row>
    <row r="109" spans="1:15" x14ac:dyDescent="0.35">
      <c r="A109" t="s">
        <v>245</v>
      </c>
      <c r="B109" s="1">
        <v>45789</v>
      </c>
      <c r="C109" t="s">
        <v>88</v>
      </c>
      <c r="D109" t="s">
        <v>60</v>
      </c>
      <c r="E109" t="s">
        <v>61</v>
      </c>
      <c r="F109" t="s">
        <v>27</v>
      </c>
      <c r="G109" t="s">
        <v>20</v>
      </c>
      <c r="H109">
        <v>4</v>
      </c>
      <c r="I109">
        <v>189.72</v>
      </c>
      <c r="J109">
        <v>0.15</v>
      </c>
      <c r="K109">
        <v>645.04999999999995</v>
      </c>
      <c r="L109">
        <v>440</v>
      </c>
      <c r="M109">
        <v>205.05</v>
      </c>
      <c r="N109" t="s">
        <v>38</v>
      </c>
      <c r="O109" t="s">
        <v>28</v>
      </c>
    </row>
    <row r="110" spans="1:15" x14ac:dyDescent="0.35">
      <c r="A110" t="s">
        <v>246</v>
      </c>
      <c r="B110" s="1">
        <v>45744</v>
      </c>
      <c r="C110" t="s">
        <v>105</v>
      </c>
      <c r="D110" t="s">
        <v>45</v>
      </c>
      <c r="E110" t="s">
        <v>46</v>
      </c>
      <c r="F110" t="s">
        <v>67</v>
      </c>
      <c r="G110" t="s">
        <v>37</v>
      </c>
      <c r="H110">
        <v>4</v>
      </c>
      <c r="I110">
        <v>75.23</v>
      </c>
      <c r="J110">
        <v>0.1</v>
      </c>
      <c r="K110">
        <v>270.83</v>
      </c>
      <c r="L110">
        <v>160</v>
      </c>
      <c r="M110">
        <v>110.83</v>
      </c>
      <c r="N110" t="s">
        <v>21</v>
      </c>
      <c r="O110" t="s">
        <v>28</v>
      </c>
    </row>
    <row r="111" spans="1:15" x14ac:dyDescent="0.35">
      <c r="A111" t="s">
        <v>247</v>
      </c>
      <c r="B111" s="1">
        <v>45985</v>
      </c>
      <c r="C111" t="s">
        <v>185</v>
      </c>
      <c r="D111" t="s">
        <v>31</v>
      </c>
      <c r="E111" t="s">
        <v>32</v>
      </c>
      <c r="F111" t="s">
        <v>41</v>
      </c>
      <c r="G111" t="s">
        <v>37</v>
      </c>
      <c r="H111">
        <v>4</v>
      </c>
      <c r="I111">
        <v>879.63</v>
      </c>
      <c r="J111">
        <v>0</v>
      </c>
      <c r="K111">
        <v>3518.52</v>
      </c>
      <c r="L111">
        <v>2400</v>
      </c>
      <c r="M111">
        <v>1118.52</v>
      </c>
      <c r="N111" t="s">
        <v>21</v>
      </c>
      <c r="O111" t="s">
        <v>28</v>
      </c>
    </row>
    <row r="112" spans="1:15" x14ac:dyDescent="0.35">
      <c r="A112" t="s">
        <v>248</v>
      </c>
      <c r="B112" s="1">
        <v>45735</v>
      </c>
      <c r="C112" t="s">
        <v>249</v>
      </c>
      <c r="D112" t="s">
        <v>25</v>
      </c>
      <c r="E112" t="s">
        <v>26</v>
      </c>
      <c r="F112" t="s">
        <v>27</v>
      </c>
      <c r="G112" t="s">
        <v>20</v>
      </c>
      <c r="H112">
        <v>4</v>
      </c>
      <c r="I112">
        <v>203.83</v>
      </c>
      <c r="J112">
        <v>0.15</v>
      </c>
      <c r="K112">
        <v>693.02</v>
      </c>
      <c r="L112">
        <v>440</v>
      </c>
      <c r="M112">
        <v>253.02</v>
      </c>
      <c r="N112" t="s">
        <v>21</v>
      </c>
      <c r="O112" t="s">
        <v>28</v>
      </c>
    </row>
    <row r="113" spans="1:15" x14ac:dyDescent="0.35">
      <c r="A113" t="s">
        <v>250</v>
      </c>
      <c r="B113" s="1">
        <v>45987</v>
      </c>
      <c r="C113" t="s">
        <v>251</v>
      </c>
      <c r="D113" t="s">
        <v>45</v>
      </c>
      <c r="E113" t="s">
        <v>46</v>
      </c>
      <c r="F113" t="s">
        <v>41</v>
      </c>
      <c r="G113" t="s">
        <v>37</v>
      </c>
      <c r="H113">
        <v>1</v>
      </c>
      <c r="I113">
        <v>827.55</v>
      </c>
      <c r="J113">
        <v>0</v>
      </c>
      <c r="K113">
        <v>827.55</v>
      </c>
      <c r="L113">
        <v>600</v>
      </c>
      <c r="M113">
        <v>227.55</v>
      </c>
      <c r="N113" t="s">
        <v>47</v>
      </c>
      <c r="O113" t="s">
        <v>22</v>
      </c>
    </row>
    <row r="114" spans="1:15" x14ac:dyDescent="0.35">
      <c r="A114" t="s">
        <v>252</v>
      </c>
      <c r="B114" s="1">
        <v>45960</v>
      </c>
      <c r="C114" t="s">
        <v>253</v>
      </c>
      <c r="D114" t="s">
        <v>50</v>
      </c>
      <c r="E114" t="s">
        <v>32</v>
      </c>
      <c r="F114" t="s">
        <v>67</v>
      </c>
      <c r="G114" t="s">
        <v>37</v>
      </c>
      <c r="H114">
        <v>2</v>
      </c>
      <c r="I114">
        <v>74.790000000000006</v>
      </c>
      <c r="J114">
        <v>0.1</v>
      </c>
      <c r="K114">
        <v>134.62</v>
      </c>
      <c r="L114">
        <v>80</v>
      </c>
      <c r="M114">
        <v>54.62</v>
      </c>
      <c r="N114" t="s">
        <v>47</v>
      </c>
      <c r="O114" t="s">
        <v>28</v>
      </c>
    </row>
    <row r="115" spans="1:15" x14ac:dyDescent="0.35">
      <c r="A115" t="s">
        <v>254</v>
      </c>
      <c r="B115" s="1">
        <v>45879</v>
      </c>
      <c r="C115" t="s">
        <v>255</v>
      </c>
      <c r="D115" t="s">
        <v>60</v>
      </c>
      <c r="E115" t="s">
        <v>61</v>
      </c>
      <c r="F115" t="s">
        <v>108</v>
      </c>
      <c r="G115" t="s">
        <v>37</v>
      </c>
      <c r="H115">
        <v>4</v>
      </c>
      <c r="I115">
        <v>452.21</v>
      </c>
      <c r="J115">
        <v>0</v>
      </c>
      <c r="K115">
        <v>1808.84</v>
      </c>
      <c r="L115">
        <v>1120</v>
      </c>
      <c r="M115">
        <v>688.84</v>
      </c>
      <c r="N115" t="s">
        <v>21</v>
      </c>
      <c r="O115" t="s">
        <v>42</v>
      </c>
    </row>
    <row r="116" spans="1:15" x14ac:dyDescent="0.35">
      <c r="A116" t="s">
        <v>256</v>
      </c>
      <c r="B116" s="1">
        <v>45716</v>
      </c>
      <c r="C116" t="s">
        <v>257</v>
      </c>
      <c r="D116" t="s">
        <v>31</v>
      </c>
      <c r="E116" t="s">
        <v>32</v>
      </c>
      <c r="F116" t="s">
        <v>51</v>
      </c>
      <c r="G116" t="s">
        <v>37</v>
      </c>
      <c r="H116">
        <v>4</v>
      </c>
      <c r="I116">
        <v>228.7</v>
      </c>
      <c r="J116">
        <v>0</v>
      </c>
      <c r="K116">
        <v>914.8</v>
      </c>
      <c r="L116">
        <v>600</v>
      </c>
      <c r="M116">
        <v>314.8</v>
      </c>
      <c r="N116" t="s">
        <v>47</v>
      </c>
      <c r="O116" t="s">
        <v>42</v>
      </c>
    </row>
    <row r="117" spans="1:15" x14ac:dyDescent="0.35">
      <c r="A117" t="s">
        <v>258</v>
      </c>
      <c r="B117" s="1">
        <v>46016</v>
      </c>
      <c r="C117" t="s">
        <v>259</v>
      </c>
      <c r="D117" t="s">
        <v>60</v>
      </c>
      <c r="E117" t="s">
        <v>61</v>
      </c>
      <c r="F117" t="s">
        <v>78</v>
      </c>
      <c r="G117" t="s">
        <v>20</v>
      </c>
      <c r="H117">
        <v>3</v>
      </c>
      <c r="I117">
        <v>314.33999999999997</v>
      </c>
      <c r="J117">
        <v>0</v>
      </c>
      <c r="K117">
        <v>943.02</v>
      </c>
      <c r="L117">
        <v>600</v>
      </c>
      <c r="M117">
        <v>343.02</v>
      </c>
      <c r="N117" t="s">
        <v>21</v>
      </c>
      <c r="O117" t="s">
        <v>28</v>
      </c>
    </row>
    <row r="118" spans="1:15" x14ac:dyDescent="0.35">
      <c r="A118" t="s">
        <v>260</v>
      </c>
      <c r="B118" s="1">
        <v>45803</v>
      </c>
      <c r="C118" t="s">
        <v>183</v>
      </c>
      <c r="D118" t="s">
        <v>25</v>
      </c>
      <c r="E118" t="s">
        <v>26</v>
      </c>
      <c r="F118" t="s">
        <v>19</v>
      </c>
      <c r="G118" t="s">
        <v>20</v>
      </c>
      <c r="H118">
        <v>4</v>
      </c>
      <c r="I118">
        <v>263.64999999999998</v>
      </c>
      <c r="J118">
        <v>0.05</v>
      </c>
      <c r="K118">
        <v>1001.87</v>
      </c>
      <c r="L118">
        <v>680</v>
      </c>
      <c r="M118">
        <v>321.87</v>
      </c>
      <c r="N118" t="s">
        <v>47</v>
      </c>
      <c r="O118" t="s">
        <v>42</v>
      </c>
    </row>
    <row r="119" spans="1:15" x14ac:dyDescent="0.35">
      <c r="A119" t="s">
        <v>261</v>
      </c>
      <c r="B119" s="1">
        <v>45774</v>
      </c>
      <c r="C119" t="s">
        <v>262</v>
      </c>
      <c r="D119" t="s">
        <v>66</v>
      </c>
      <c r="E119" t="s">
        <v>61</v>
      </c>
      <c r="F119" t="s">
        <v>78</v>
      </c>
      <c r="G119" t="s">
        <v>20</v>
      </c>
      <c r="H119">
        <v>1</v>
      </c>
      <c r="I119">
        <v>345.67</v>
      </c>
      <c r="J119">
        <v>0.15</v>
      </c>
      <c r="K119">
        <v>293.82</v>
      </c>
      <c r="L119">
        <v>200</v>
      </c>
      <c r="M119">
        <v>93.82</v>
      </c>
      <c r="N119" t="s">
        <v>47</v>
      </c>
      <c r="O119" t="s">
        <v>42</v>
      </c>
    </row>
    <row r="120" spans="1:15" x14ac:dyDescent="0.35">
      <c r="A120" t="s">
        <v>263</v>
      </c>
      <c r="B120" s="1">
        <v>45830</v>
      </c>
      <c r="C120" t="s">
        <v>264</v>
      </c>
      <c r="D120" t="s">
        <v>60</v>
      </c>
      <c r="E120" t="s">
        <v>61</v>
      </c>
      <c r="F120" t="s">
        <v>108</v>
      </c>
      <c r="G120" t="s">
        <v>37</v>
      </c>
      <c r="H120">
        <v>2</v>
      </c>
      <c r="I120">
        <v>422.04</v>
      </c>
      <c r="J120">
        <v>0.1</v>
      </c>
      <c r="K120">
        <v>759.67</v>
      </c>
      <c r="L120">
        <v>560</v>
      </c>
      <c r="M120">
        <v>199.67</v>
      </c>
      <c r="N120" t="s">
        <v>33</v>
      </c>
      <c r="O120" t="s">
        <v>28</v>
      </c>
    </row>
    <row r="121" spans="1:15" x14ac:dyDescent="0.35">
      <c r="A121" t="s">
        <v>265</v>
      </c>
      <c r="B121" s="1">
        <v>45838</v>
      </c>
      <c r="C121" t="s">
        <v>266</v>
      </c>
      <c r="D121" t="s">
        <v>17</v>
      </c>
      <c r="E121" t="s">
        <v>18</v>
      </c>
      <c r="F121" t="s">
        <v>36</v>
      </c>
      <c r="G121" t="s">
        <v>37</v>
      </c>
      <c r="H121">
        <v>1</v>
      </c>
      <c r="I121">
        <v>118.5</v>
      </c>
      <c r="J121">
        <v>0</v>
      </c>
      <c r="K121">
        <v>118.5</v>
      </c>
      <c r="L121">
        <v>60</v>
      </c>
      <c r="M121">
        <v>58.5</v>
      </c>
      <c r="N121" t="s">
        <v>38</v>
      </c>
      <c r="O121" t="s">
        <v>42</v>
      </c>
    </row>
    <row r="122" spans="1:15" x14ac:dyDescent="0.35">
      <c r="A122" t="s">
        <v>267</v>
      </c>
      <c r="B122" s="1">
        <v>45967</v>
      </c>
      <c r="C122" t="s">
        <v>268</v>
      </c>
      <c r="D122" t="s">
        <v>66</v>
      </c>
      <c r="E122" t="s">
        <v>61</v>
      </c>
      <c r="F122" t="s">
        <v>51</v>
      </c>
      <c r="G122" t="s">
        <v>37</v>
      </c>
      <c r="H122">
        <v>3</v>
      </c>
      <c r="I122">
        <v>250.86</v>
      </c>
      <c r="J122">
        <v>0.15</v>
      </c>
      <c r="K122">
        <v>639.69000000000005</v>
      </c>
      <c r="L122">
        <v>450</v>
      </c>
      <c r="M122">
        <v>189.69</v>
      </c>
      <c r="N122" t="s">
        <v>21</v>
      </c>
      <c r="O122" t="s">
        <v>28</v>
      </c>
    </row>
    <row r="123" spans="1:15" x14ac:dyDescent="0.35">
      <c r="A123" t="s">
        <v>269</v>
      </c>
      <c r="B123" s="1">
        <v>45884</v>
      </c>
      <c r="C123" t="s">
        <v>270</v>
      </c>
      <c r="D123" t="s">
        <v>17</v>
      </c>
      <c r="E123" t="s">
        <v>18</v>
      </c>
      <c r="F123" t="s">
        <v>36</v>
      </c>
      <c r="G123" t="s">
        <v>37</v>
      </c>
      <c r="H123">
        <v>4</v>
      </c>
      <c r="I123">
        <v>116.41</v>
      </c>
      <c r="J123">
        <v>0.15</v>
      </c>
      <c r="K123">
        <v>395.79</v>
      </c>
      <c r="L123">
        <v>240</v>
      </c>
      <c r="M123">
        <v>155.79</v>
      </c>
      <c r="N123" t="s">
        <v>47</v>
      </c>
      <c r="O123" t="s">
        <v>28</v>
      </c>
    </row>
    <row r="124" spans="1:15" x14ac:dyDescent="0.35">
      <c r="A124" t="s">
        <v>271</v>
      </c>
      <c r="B124" s="1">
        <v>45953</v>
      </c>
      <c r="C124" t="s">
        <v>218</v>
      </c>
      <c r="D124" t="s">
        <v>60</v>
      </c>
      <c r="E124" t="s">
        <v>61</v>
      </c>
      <c r="F124" t="s">
        <v>41</v>
      </c>
      <c r="G124" t="s">
        <v>37</v>
      </c>
      <c r="H124">
        <v>2</v>
      </c>
      <c r="I124">
        <v>855.55</v>
      </c>
      <c r="J124">
        <v>0.05</v>
      </c>
      <c r="K124">
        <v>1625.54</v>
      </c>
      <c r="L124">
        <v>1200</v>
      </c>
      <c r="M124">
        <v>425.54</v>
      </c>
      <c r="N124" t="s">
        <v>38</v>
      </c>
      <c r="O124" t="s">
        <v>42</v>
      </c>
    </row>
    <row r="125" spans="1:15" x14ac:dyDescent="0.35">
      <c r="A125" t="s">
        <v>272</v>
      </c>
      <c r="B125" s="1">
        <v>45829</v>
      </c>
      <c r="C125" t="s">
        <v>242</v>
      </c>
      <c r="D125" t="s">
        <v>58</v>
      </c>
      <c r="E125" t="s">
        <v>18</v>
      </c>
      <c r="F125" t="s">
        <v>78</v>
      </c>
      <c r="G125" t="s">
        <v>20</v>
      </c>
      <c r="H125">
        <v>1</v>
      </c>
      <c r="I125">
        <v>322.04000000000002</v>
      </c>
      <c r="J125">
        <v>0</v>
      </c>
      <c r="K125">
        <v>322.04000000000002</v>
      </c>
      <c r="L125">
        <v>200</v>
      </c>
      <c r="M125">
        <v>122.04</v>
      </c>
      <c r="N125" t="s">
        <v>38</v>
      </c>
      <c r="O125" t="s">
        <v>42</v>
      </c>
    </row>
    <row r="126" spans="1:15" x14ac:dyDescent="0.35">
      <c r="A126" t="s">
        <v>273</v>
      </c>
      <c r="B126" s="1">
        <v>45960</v>
      </c>
      <c r="C126" t="s">
        <v>240</v>
      </c>
      <c r="D126" t="s">
        <v>17</v>
      </c>
      <c r="E126" t="s">
        <v>18</v>
      </c>
      <c r="F126" t="s">
        <v>78</v>
      </c>
      <c r="G126" t="s">
        <v>20</v>
      </c>
      <c r="H126">
        <v>6</v>
      </c>
      <c r="I126">
        <v>335.75</v>
      </c>
      <c r="J126">
        <v>0.1</v>
      </c>
      <c r="K126">
        <v>1813.05</v>
      </c>
      <c r="L126">
        <v>1200</v>
      </c>
      <c r="M126">
        <v>613.04999999999995</v>
      </c>
      <c r="N126" t="s">
        <v>38</v>
      </c>
      <c r="O126" t="s">
        <v>42</v>
      </c>
    </row>
    <row r="127" spans="1:15" x14ac:dyDescent="0.35">
      <c r="A127" t="s">
        <v>274</v>
      </c>
      <c r="B127" s="1">
        <v>45857</v>
      </c>
      <c r="C127" t="s">
        <v>214</v>
      </c>
      <c r="D127" t="s">
        <v>60</v>
      </c>
      <c r="E127" t="s">
        <v>61</v>
      </c>
      <c r="F127" t="s">
        <v>108</v>
      </c>
      <c r="G127" t="s">
        <v>37</v>
      </c>
      <c r="H127">
        <v>2</v>
      </c>
      <c r="I127">
        <v>452.93</v>
      </c>
      <c r="J127">
        <v>0</v>
      </c>
      <c r="K127">
        <v>905.86</v>
      </c>
      <c r="L127">
        <v>560</v>
      </c>
      <c r="M127">
        <v>345.86</v>
      </c>
      <c r="N127" t="s">
        <v>21</v>
      </c>
      <c r="O127" t="s">
        <v>42</v>
      </c>
    </row>
    <row r="128" spans="1:15" x14ac:dyDescent="0.35">
      <c r="A128" t="s">
        <v>275</v>
      </c>
      <c r="B128" s="1">
        <v>45856</v>
      </c>
      <c r="C128" t="s">
        <v>53</v>
      </c>
      <c r="D128" t="s">
        <v>60</v>
      </c>
      <c r="E128" t="s">
        <v>61</v>
      </c>
      <c r="F128" t="s">
        <v>51</v>
      </c>
      <c r="G128" t="s">
        <v>37</v>
      </c>
      <c r="H128">
        <v>3</v>
      </c>
      <c r="I128">
        <v>237.76</v>
      </c>
      <c r="J128">
        <v>0.05</v>
      </c>
      <c r="K128">
        <v>677.62</v>
      </c>
      <c r="L128">
        <v>450</v>
      </c>
      <c r="M128">
        <v>227.62</v>
      </c>
      <c r="N128" t="s">
        <v>38</v>
      </c>
      <c r="O128" t="s">
        <v>28</v>
      </c>
    </row>
    <row r="129" spans="1:15" x14ac:dyDescent="0.35">
      <c r="A129" t="s">
        <v>276</v>
      </c>
      <c r="B129" s="1">
        <v>45985</v>
      </c>
      <c r="C129" t="s">
        <v>218</v>
      </c>
      <c r="D129" t="s">
        <v>66</v>
      </c>
      <c r="E129" t="s">
        <v>61</v>
      </c>
      <c r="F129" t="s">
        <v>36</v>
      </c>
      <c r="G129" t="s">
        <v>37</v>
      </c>
      <c r="H129">
        <v>5</v>
      </c>
      <c r="I129">
        <v>127.45</v>
      </c>
      <c r="J129">
        <v>0.05</v>
      </c>
      <c r="K129">
        <v>605.39</v>
      </c>
      <c r="L129">
        <v>300</v>
      </c>
      <c r="M129">
        <v>305.39</v>
      </c>
      <c r="N129" t="s">
        <v>21</v>
      </c>
      <c r="O129" t="s">
        <v>22</v>
      </c>
    </row>
    <row r="130" spans="1:15" x14ac:dyDescent="0.35">
      <c r="A130" t="s">
        <v>277</v>
      </c>
      <c r="B130" s="1">
        <v>45930</v>
      </c>
      <c r="C130" t="s">
        <v>278</v>
      </c>
      <c r="D130" t="s">
        <v>31</v>
      </c>
      <c r="E130" t="s">
        <v>32</v>
      </c>
      <c r="F130" t="s">
        <v>51</v>
      </c>
      <c r="G130" t="s">
        <v>37</v>
      </c>
      <c r="H130">
        <v>2</v>
      </c>
      <c r="I130">
        <v>243.01</v>
      </c>
      <c r="J130">
        <v>0.05</v>
      </c>
      <c r="K130">
        <v>461.72</v>
      </c>
      <c r="L130">
        <v>300</v>
      </c>
      <c r="M130">
        <v>161.72</v>
      </c>
      <c r="N130" t="s">
        <v>47</v>
      </c>
      <c r="O130" t="s">
        <v>28</v>
      </c>
    </row>
    <row r="131" spans="1:15" x14ac:dyDescent="0.35">
      <c r="A131" t="s">
        <v>279</v>
      </c>
      <c r="B131" s="1">
        <v>46021</v>
      </c>
      <c r="C131" t="s">
        <v>259</v>
      </c>
      <c r="D131" t="s">
        <v>45</v>
      </c>
      <c r="E131" t="s">
        <v>46</v>
      </c>
      <c r="F131" t="s">
        <v>51</v>
      </c>
      <c r="G131" t="s">
        <v>37</v>
      </c>
      <c r="H131">
        <v>4</v>
      </c>
      <c r="I131">
        <v>248.64</v>
      </c>
      <c r="J131">
        <v>0.05</v>
      </c>
      <c r="K131">
        <v>944.83</v>
      </c>
      <c r="L131">
        <v>600</v>
      </c>
      <c r="M131">
        <v>344.83</v>
      </c>
      <c r="N131" t="s">
        <v>47</v>
      </c>
      <c r="O131" t="s">
        <v>28</v>
      </c>
    </row>
    <row r="132" spans="1:15" x14ac:dyDescent="0.35">
      <c r="A132" t="s">
        <v>280</v>
      </c>
      <c r="B132" s="1">
        <v>45765</v>
      </c>
      <c r="C132" t="s">
        <v>281</v>
      </c>
      <c r="D132" t="s">
        <v>31</v>
      </c>
      <c r="E132" t="s">
        <v>32</v>
      </c>
      <c r="F132" t="s">
        <v>108</v>
      </c>
      <c r="G132" t="s">
        <v>37</v>
      </c>
      <c r="H132">
        <v>1</v>
      </c>
      <c r="I132">
        <v>400.16</v>
      </c>
      <c r="J132">
        <v>0.1</v>
      </c>
      <c r="K132">
        <v>360.14</v>
      </c>
      <c r="L132">
        <v>280</v>
      </c>
      <c r="M132">
        <v>80.14</v>
      </c>
      <c r="N132" t="s">
        <v>47</v>
      </c>
      <c r="O132" t="s">
        <v>22</v>
      </c>
    </row>
    <row r="133" spans="1:15" x14ac:dyDescent="0.35">
      <c r="A133" t="s">
        <v>282</v>
      </c>
      <c r="B133" s="1">
        <v>45696</v>
      </c>
      <c r="C133" t="s">
        <v>193</v>
      </c>
      <c r="D133" t="s">
        <v>31</v>
      </c>
      <c r="E133" t="s">
        <v>32</v>
      </c>
      <c r="F133" t="s">
        <v>67</v>
      </c>
      <c r="G133" t="s">
        <v>37</v>
      </c>
      <c r="H133">
        <v>1</v>
      </c>
      <c r="I133">
        <v>71.62</v>
      </c>
      <c r="J133">
        <v>0</v>
      </c>
      <c r="K133">
        <v>71.62</v>
      </c>
      <c r="L133">
        <v>40</v>
      </c>
      <c r="M133">
        <v>31.62</v>
      </c>
      <c r="N133" t="s">
        <v>47</v>
      </c>
      <c r="O133" t="s">
        <v>28</v>
      </c>
    </row>
    <row r="134" spans="1:15" x14ac:dyDescent="0.35">
      <c r="A134" t="s">
        <v>283</v>
      </c>
      <c r="B134" s="1">
        <v>45923</v>
      </c>
      <c r="C134" t="s">
        <v>284</v>
      </c>
      <c r="D134" t="s">
        <v>31</v>
      </c>
      <c r="E134" t="s">
        <v>32</v>
      </c>
      <c r="F134" t="s">
        <v>41</v>
      </c>
      <c r="G134" t="s">
        <v>37</v>
      </c>
      <c r="H134">
        <v>2</v>
      </c>
      <c r="I134">
        <v>888.42</v>
      </c>
      <c r="J134">
        <v>0.05</v>
      </c>
      <c r="K134">
        <v>1688</v>
      </c>
      <c r="L134">
        <v>1200</v>
      </c>
      <c r="M134">
        <v>488</v>
      </c>
      <c r="N134" t="s">
        <v>47</v>
      </c>
      <c r="O134" t="s">
        <v>28</v>
      </c>
    </row>
    <row r="135" spans="1:15" x14ac:dyDescent="0.35">
      <c r="A135" t="s">
        <v>285</v>
      </c>
      <c r="B135" s="1">
        <v>45981</v>
      </c>
      <c r="C135" t="s">
        <v>286</v>
      </c>
      <c r="D135" t="s">
        <v>66</v>
      </c>
      <c r="E135" t="s">
        <v>61</v>
      </c>
      <c r="F135" t="s">
        <v>78</v>
      </c>
      <c r="G135" t="s">
        <v>20</v>
      </c>
      <c r="H135">
        <v>3</v>
      </c>
      <c r="I135">
        <v>347.21</v>
      </c>
      <c r="J135">
        <v>0</v>
      </c>
      <c r="K135">
        <v>1041.6300000000001</v>
      </c>
      <c r="L135">
        <v>600</v>
      </c>
      <c r="M135">
        <v>441.63</v>
      </c>
      <c r="N135" t="s">
        <v>21</v>
      </c>
      <c r="O135" t="s">
        <v>28</v>
      </c>
    </row>
    <row r="136" spans="1:15" x14ac:dyDescent="0.35">
      <c r="A136" t="s">
        <v>287</v>
      </c>
      <c r="B136" s="1">
        <v>45797</v>
      </c>
      <c r="C136" t="s">
        <v>288</v>
      </c>
      <c r="D136" t="s">
        <v>58</v>
      </c>
      <c r="E136" t="s">
        <v>18</v>
      </c>
      <c r="F136" t="s">
        <v>108</v>
      </c>
      <c r="G136" t="s">
        <v>37</v>
      </c>
      <c r="H136">
        <v>4</v>
      </c>
      <c r="I136">
        <v>431.14</v>
      </c>
      <c r="J136">
        <v>0</v>
      </c>
      <c r="K136">
        <v>1724.56</v>
      </c>
      <c r="L136">
        <v>1120</v>
      </c>
      <c r="M136">
        <v>604.55999999999995</v>
      </c>
      <c r="N136" t="s">
        <v>33</v>
      </c>
      <c r="O136" t="s">
        <v>42</v>
      </c>
    </row>
    <row r="137" spans="1:15" x14ac:dyDescent="0.35">
      <c r="A137" t="s">
        <v>289</v>
      </c>
      <c r="B137" s="1">
        <v>45719</v>
      </c>
      <c r="C137" t="s">
        <v>65</v>
      </c>
      <c r="D137" t="s">
        <v>50</v>
      </c>
      <c r="E137" t="s">
        <v>32</v>
      </c>
      <c r="F137" t="s">
        <v>108</v>
      </c>
      <c r="G137" t="s">
        <v>37</v>
      </c>
      <c r="H137">
        <v>1</v>
      </c>
      <c r="I137">
        <v>411.65</v>
      </c>
      <c r="J137">
        <v>0.2</v>
      </c>
      <c r="K137">
        <v>329.32</v>
      </c>
      <c r="L137">
        <v>280</v>
      </c>
      <c r="M137">
        <v>49.32</v>
      </c>
      <c r="N137" t="s">
        <v>38</v>
      </c>
      <c r="O137" t="s">
        <v>42</v>
      </c>
    </row>
    <row r="138" spans="1:15" x14ac:dyDescent="0.35">
      <c r="A138" t="s">
        <v>290</v>
      </c>
      <c r="B138" s="1">
        <v>45987</v>
      </c>
      <c r="C138" t="s">
        <v>291</v>
      </c>
      <c r="D138" t="s">
        <v>58</v>
      </c>
      <c r="E138" t="s">
        <v>18</v>
      </c>
      <c r="F138" t="s">
        <v>108</v>
      </c>
      <c r="G138" t="s">
        <v>37</v>
      </c>
      <c r="H138">
        <v>2</v>
      </c>
      <c r="I138">
        <v>451.27</v>
      </c>
      <c r="J138">
        <v>0</v>
      </c>
      <c r="K138">
        <v>902.54</v>
      </c>
      <c r="L138">
        <v>560</v>
      </c>
      <c r="M138">
        <v>342.54</v>
      </c>
      <c r="N138" t="s">
        <v>21</v>
      </c>
      <c r="O138" t="s">
        <v>22</v>
      </c>
    </row>
    <row r="139" spans="1:15" x14ac:dyDescent="0.35">
      <c r="A139" t="s">
        <v>292</v>
      </c>
      <c r="B139" s="1">
        <v>45834</v>
      </c>
      <c r="C139" t="s">
        <v>293</v>
      </c>
      <c r="D139" t="s">
        <v>60</v>
      </c>
      <c r="E139" t="s">
        <v>61</v>
      </c>
      <c r="F139" t="s">
        <v>36</v>
      </c>
      <c r="G139" t="s">
        <v>37</v>
      </c>
      <c r="H139">
        <v>3</v>
      </c>
      <c r="I139">
        <v>118.06</v>
      </c>
      <c r="J139">
        <v>0.05</v>
      </c>
      <c r="K139">
        <v>336.47</v>
      </c>
      <c r="L139">
        <v>180</v>
      </c>
      <c r="M139">
        <v>156.47</v>
      </c>
      <c r="N139" t="s">
        <v>47</v>
      </c>
      <c r="O139" t="s">
        <v>22</v>
      </c>
    </row>
    <row r="140" spans="1:15" x14ac:dyDescent="0.35">
      <c r="A140" t="s">
        <v>294</v>
      </c>
      <c r="B140" s="1">
        <v>45660</v>
      </c>
      <c r="C140" t="s">
        <v>75</v>
      </c>
      <c r="D140" t="s">
        <v>25</v>
      </c>
      <c r="E140" t="s">
        <v>26</v>
      </c>
      <c r="F140" t="s">
        <v>36</v>
      </c>
      <c r="G140" t="s">
        <v>37</v>
      </c>
      <c r="H140">
        <v>1</v>
      </c>
      <c r="I140">
        <v>122.38</v>
      </c>
      <c r="J140">
        <v>0</v>
      </c>
      <c r="K140">
        <v>122.38</v>
      </c>
      <c r="L140">
        <v>60</v>
      </c>
      <c r="M140">
        <v>62.38</v>
      </c>
      <c r="N140" t="s">
        <v>47</v>
      </c>
      <c r="O140" t="s">
        <v>28</v>
      </c>
    </row>
    <row r="141" spans="1:15" x14ac:dyDescent="0.35">
      <c r="A141" t="s">
        <v>295</v>
      </c>
      <c r="B141" s="1">
        <v>45762</v>
      </c>
      <c r="C141" t="s">
        <v>264</v>
      </c>
      <c r="D141" t="s">
        <v>25</v>
      </c>
      <c r="E141" t="s">
        <v>26</v>
      </c>
      <c r="F141" t="s">
        <v>36</v>
      </c>
      <c r="G141" t="s">
        <v>37</v>
      </c>
      <c r="H141">
        <v>1</v>
      </c>
      <c r="I141">
        <v>114.69</v>
      </c>
      <c r="J141">
        <v>0.05</v>
      </c>
      <c r="K141">
        <v>108.96</v>
      </c>
      <c r="L141">
        <v>60</v>
      </c>
      <c r="M141">
        <v>48.96</v>
      </c>
      <c r="N141" t="s">
        <v>21</v>
      </c>
      <c r="O141" t="s">
        <v>28</v>
      </c>
    </row>
    <row r="142" spans="1:15" x14ac:dyDescent="0.35">
      <c r="A142" t="s">
        <v>296</v>
      </c>
      <c r="B142" s="1">
        <v>45682</v>
      </c>
      <c r="C142" t="s">
        <v>297</v>
      </c>
      <c r="D142" t="s">
        <v>50</v>
      </c>
      <c r="E142" t="s">
        <v>32</v>
      </c>
      <c r="F142" t="s">
        <v>36</v>
      </c>
      <c r="G142" t="s">
        <v>37</v>
      </c>
      <c r="H142">
        <v>1</v>
      </c>
      <c r="I142">
        <v>119.81</v>
      </c>
      <c r="J142">
        <v>0</v>
      </c>
      <c r="K142">
        <v>119.81</v>
      </c>
      <c r="L142">
        <v>60</v>
      </c>
      <c r="M142">
        <v>59.81</v>
      </c>
      <c r="N142" t="s">
        <v>38</v>
      </c>
      <c r="O142" t="s">
        <v>28</v>
      </c>
    </row>
    <row r="143" spans="1:15" x14ac:dyDescent="0.35">
      <c r="A143" t="s">
        <v>298</v>
      </c>
      <c r="B143" s="1">
        <v>45694</v>
      </c>
      <c r="C143" t="s">
        <v>299</v>
      </c>
      <c r="D143" t="s">
        <v>17</v>
      </c>
      <c r="E143" t="s">
        <v>18</v>
      </c>
      <c r="F143" t="s">
        <v>27</v>
      </c>
      <c r="G143" t="s">
        <v>20</v>
      </c>
      <c r="H143">
        <v>3</v>
      </c>
      <c r="I143">
        <v>201.52</v>
      </c>
      <c r="J143">
        <v>0</v>
      </c>
      <c r="K143">
        <v>604.55999999999995</v>
      </c>
      <c r="L143">
        <v>330</v>
      </c>
      <c r="M143">
        <v>274.56</v>
      </c>
      <c r="N143" t="s">
        <v>47</v>
      </c>
      <c r="O143" t="s">
        <v>42</v>
      </c>
    </row>
    <row r="144" spans="1:15" x14ac:dyDescent="0.35">
      <c r="A144" t="s">
        <v>300</v>
      </c>
      <c r="B144" s="1">
        <v>45843</v>
      </c>
      <c r="C144" t="s">
        <v>149</v>
      </c>
      <c r="D144" t="s">
        <v>58</v>
      </c>
      <c r="E144" t="s">
        <v>18</v>
      </c>
      <c r="F144" t="s">
        <v>27</v>
      </c>
      <c r="G144" t="s">
        <v>20</v>
      </c>
      <c r="H144">
        <v>3</v>
      </c>
      <c r="I144">
        <v>201.85</v>
      </c>
      <c r="J144">
        <v>0.05</v>
      </c>
      <c r="K144">
        <v>575.27</v>
      </c>
      <c r="L144">
        <v>330</v>
      </c>
      <c r="M144">
        <v>245.27</v>
      </c>
      <c r="N144" t="s">
        <v>47</v>
      </c>
      <c r="O144" t="s">
        <v>22</v>
      </c>
    </row>
    <row r="145" spans="1:15" x14ac:dyDescent="0.35">
      <c r="A145" t="s">
        <v>301</v>
      </c>
      <c r="B145" s="1">
        <v>45749</v>
      </c>
      <c r="C145" t="s">
        <v>302</v>
      </c>
      <c r="D145" t="s">
        <v>60</v>
      </c>
      <c r="E145" t="s">
        <v>61</v>
      </c>
      <c r="F145" t="s">
        <v>36</v>
      </c>
      <c r="G145" t="s">
        <v>37</v>
      </c>
      <c r="H145">
        <v>4</v>
      </c>
      <c r="I145">
        <v>127.06</v>
      </c>
      <c r="J145">
        <v>0.1</v>
      </c>
      <c r="K145">
        <v>457.42</v>
      </c>
      <c r="L145">
        <v>240</v>
      </c>
      <c r="M145">
        <v>217.42</v>
      </c>
      <c r="N145" t="s">
        <v>47</v>
      </c>
      <c r="O145" t="s">
        <v>42</v>
      </c>
    </row>
    <row r="146" spans="1:15" x14ac:dyDescent="0.35">
      <c r="A146" t="s">
        <v>303</v>
      </c>
      <c r="B146" s="1">
        <v>45664</v>
      </c>
      <c r="C146" t="s">
        <v>304</v>
      </c>
      <c r="D146" t="s">
        <v>50</v>
      </c>
      <c r="E146" t="s">
        <v>32</v>
      </c>
      <c r="F146" t="s">
        <v>36</v>
      </c>
      <c r="G146" t="s">
        <v>37</v>
      </c>
      <c r="H146">
        <v>6</v>
      </c>
      <c r="I146">
        <v>127.71</v>
      </c>
      <c r="J146">
        <v>0.05</v>
      </c>
      <c r="K146">
        <v>727.95</v>
      </c>
      <c r="L146">
        <v>360</v>
      </c>
      <c r="M146">
        <v>367.95</v>
      </c>
      <c r="N146" t="s">
        <v>38</v>
      </c>
      <c r="O146" t="s">
        <v>28</v>
      </c>
    </row>
    <row r="147" spans="1:15" x14ac:dyDescent="0.35">
      <c r="A147" t="s">
        <v>305</v>
      </c>
      <c r="B147" s="1">
        <v>45696</v>
      </c>
      <c r="C147" t="s">
        <v>306</v>
      </c>
      <c r="D147" t="s">
        <v>45</v>
      </c>
      <c r="E147" t="s">
        <v>46</v>
      </c>
      <c r="F147" t="s">
        <v>108</v>
      </c>
      <c r="G147" t="s">
        <v>37</v>
      </c>
      <c r="H147">
        <v>4</v>
      </c>
      <c r="I147">
        <v>426.71</v>
      </c>
      <c r="J147">
        <v>0.1</v>
      </c>
      <c r="K147">
        <v>1536.16</v>
      </c>
      <c r="L147">
        <v>1120</v>
      </c>
      <c r="M147">
        <v>416.16</v>
      </c>
      <c r="N147" t="s">
        <v>21</v>
      </c>
      <c r="O147" t="s">
        <v>42</v>
      </c>
    </row>
    <row r="148" spans="1:15" x14ac:dyDescent="0.35">
      <c r="A148" t="s">
        <v>307</v>
      </c>
      <c r="B148" s="1">
        <v>45770</v>
      </c>
      <c r="C148" t="s">
        <v>308</v>
      </c>
      <c r="D148" t="s">
        <v>60</v>
      </c>
      <c r="E148" t="s">
        <v>61</v>
      </c>
      <c r="F148" t="s">
        <v>41</v>
      </c>
      <c r="G148" t="s">
        <v>37</v>
      </c>
      <c r="H148">
        <v>1</v>
      </c>
      <c r="I148">
        <v>808.5</v>
      </c>
      <c r="J148">
        <v>0</v>
      </c>
      <c r="K148">
        <v>808.5</v>
      </c>
      <c r="L148">
        <v>600</v>
      </c>
      <c r="M148">
        <v>208.5</v>
      </c>
      <c r="N148" t="s">
        <v>21</v>
      </c>
      <c r="O148" t="s">
        <v>28</v>
      </c>
    </row>
    <row r="149" spans="1:15" x14ac:dyDescent="0.35">
      <c r="A149" t="s">
        <v>309</v>
      </c>
      <c r="B149" s="1">
        <v>45731</v>
      </c>
      <c r="C149" t="s">
        <v>310</v>
      </c>
      <c r="D149" t="s">
        <v>60</v>
      </c>
      <c r="E149" t="s">
        <v>61</v>
      </c>
      <c r="F149" t="s">
        <v>27</v>
      </c>
      <c r="G149" t="s">
        <v>20</v>
      </c>
      <c r="H149">
        <v>4</v>
      </c>
      <c r="I149">
        <v>184.93</v>
      </c>
      <c r="J149">
        <v>0</v>
      </c>
      <c r="K149">
        <v>739.72</v>
      </c>
      <c r="L149">
        <v>440</v>
      </c>
      <c r="M149">
        <v>299.72000000000003</v>
      </c>
      <c r="N149" t="s">
        <v>38</v>
      </c>
      <c r="O149" t="s">
        <v>28</v>
      </c>
    </row>
    <row r="150" spans="1:15" x14ac:dyDescent="0.35">
      <c r="A150" t="s">
        <v>311</v>
      </c>
      <c r="B150" s="1">
        <v>45899</v>
      </c>
      <c r="C150" t="s">
        <v>149</v>
      </c>
      <c r="D150" t="s">
        <v>17</v>
      </c>
      <c r="E150" t="s">
        <v>18</v>
      </c>
      <c r="F150" t="s">
        <v>36</v>
      </c>
      <c r="G150" t="s">
        <v>37</v>
      </c>
      <c r="H150">
        <v>1</v>
      </c>
      <c r="I150">
        <v>125.05</v>
      </c>
      <c r="J150">
        <v>0.1</v>
      </c>
      <c r="K150">
        <v>112.54</v>
      </c>
      <c r="L150">
        <v>60</v>
      </c>
      <c r="M150">
        <v>52.54</v>
      </c>
      <c r="N150" t="s">
        <v>47</v>
      </c>
      <c r="O150" t="s">
        <v>28</v>
      </c>
    </row>
    <row r="151" spans="1:15" x14ac:dyDescent="0.35">
      <c r="A151" t="s">
        <v>312</v>
      </c>
      <c r="B151" s="1">
        <v>45963</v>
      </c>
      <c r="C151" t="s">
        <v>65</v>
      </c>
      <c r="D151" t="s">
        <v>31</v>
      </c>
      <c r="E151" t="s">
        <v>32</v>
      </c>
      <c r="F151" t="s">
        <v>27</v>
      </c>
      <c r="G151" t="s">
        <v>20</v>
      </c>
      <c r="H151">
        <v>3</v>
      </c>
      <c r="I151">
        <v>196.5</v>
      </c>
      <c r="J151">
        <v>0</v>
      </c>
      <c r="K151">
        <v>589.5</v>
      </c>
      <c r="L151">
        <v>330</v>
      </c>
      <c r="M151">
        <v>259.5</v>
      </c>
      <c r="N151" t="s">
        <v>47</v>
      </c>
      <c r="O151" t="s">
        <v>28</v>
      </c>
    </row>
    <row r="152" spans="1:15" x14ac:dyDescent="0.35">
      <c r="A152" t="s">
        <v>313</v>
      </c>
      <c r="B152" s="1">
        <v>45690</v>
      </c>
      <c r="C152" t="s">
        <v>44</v>
      </c>
      <c r="D152" t="s">
        <v>31</v>
      </c>
      <c r="E152" t="s">
        <v>32</v>
      </c>
      <c r="F152" t="s">
        <v>51</v>
      </c>
      <c r="G152" t="s">
        <v>37</v>
      </c>
      <c r="H152">
        <v>2</v>
      </c>
      <c r="I152">
        <v>249.32</v>
      </c>
      <c r="J152">
        <v>0.1</v>
      </c>
      <c r="K152">
        <v>448.78</v>
      </c>
      <c r="L152">
        <v>300</v>
      </c>
      <c r="M152">
        <v>148.78</v>
      </c>
      <c r="N152" t="s">
        <v>47</v>
      </c>
      <c r="O152" t="s">
        <v>22</v>
      </c>
    </row>
    <row r="153" spans="1:15" x14ac:dyDescent="0.35">
      <c r="A153" t="s">
        <v>314</v>
      </c>
      <c r="B153" s="1">
        <v>45756</v>
      </c>
      <c r="C153" t="s">
        <v>315</v>
      </c>
      <c r="D153" t="s">
        <v>50</v>
      </c>
      <c r="E153" t="s">
        <v>32</v>
      </c>
      <c r="F153" t="s">
        <v>41</v>
      </c>
      <c r="G153" t="s">
        <v>37</v>
      </c>
      <c r="H153">
        <v>1</v>
      </c>
      <c r="I153">
        <v>884.15</v>
      </c>
      <c r="J153">
        <v>0.1</v>
      </c>
      <c r="K153">
        <v>795.74</v>
      </c>
      <c r="L153">
        <v>600</v>
      </c>
      <c r="M153">
        <v>195.74</v>
      </c>
      <c r="N153" t="s">
        <v>38</v>
      </c>
      <c r="O153" t="s">
        <v>28</v>
      </c>
    </row>
    <row r="154" spans="1:15" x14ac:dyDescent="0.35">
      <c r="A154" t="s">
        <v>316</v>
      </c>
      <c r="B154" s="1">
        <v>45684</v>
      </c>
      <c r="C154" t="s">
        <v>53</v>
      </c>
      <c r="D154" t="s">
        <v>58</v>
      </c>
      <c r="E154" t="s">
        <v>18</v>
      </c>
      <c r="F154" t="s">
        <v>41</v>
      </c>
      <c r="G154" t="s">
        <v>37</v>
      </c>
      <c r="H154">
        <v>6</v>
      </c>
      <c r="I154">
        <v>888.31</v>
      </c>
      <c r="J154">
        <v>0</v>
      </c>
      <c r="K154">
        <v>5329.86</v>
      </c>
      <c r="L154">
        <v>3600</v>
      </c>
      <c r="M154">
        <v>1729.86</v>
      </c>
      <c r="N154" t="s">
        <v>38</v>
      </c>
      <c r="O154" t="s">
        <v>28</v>
      </c>
    </row>
    <row r="155" spans="1:15" x14ac:dyDescent="0.35">
      <c r="A155" t="s">
        <v>317</v>
      </c>
      <c r="B155" s="1">
        <v>45914</v>
      </c>
      <c r="C155" t="s">
        <v>160</v>
      </c>
      <c r="D155" t="s">
        <v>66</v>
      </c>
      <c r="E155" t="s">
        <v>61</v>
      </c>
      <c r="F155" t="s">
        <v>67</v>
      </c>
      <c r="G155" t="s">
        <v>37</v>
      </c>
      <c r="H155">
        <v>3</v>
      </c>
      <c r="I155">
        <v>73.2</v>
      </c>
      <c r="J155">
        <v>0.1</v>
      </c>
      <c r="K155">
        <v>197.64</v>
      </c>
      <c r="L155">
        <v>120</v>
      </c>
      <c r="M155">
        <v>77.64</v>
      </c>
      <c r="N155" t="s">
        <v>38</v>
      </c>
      <c r="O155" t="s">
        <v>42</v>
      </c>
    </row>
    <row r="156" spans="1:15" x14ac:dyDescent="0.35">
      <c r="A156" t="s">
        <v>318</v>
      </c>
      <c r="B156" s="1">
        <v>45865</v>
      </c>
      <c r="C156" t="s">
        <v>319</v>
      </c>
      <c r="D156" t="s">
        <v>58</v>
      </c>
      <c r="E156" t="s">
        <v>18</v>
      </c>
      <c r="F156" t="s">
        <v>27</v>
      </c>
      <c r="G156" t="s">
        <v>20</v>
      </c>
      <c r="H156">
        <v>1</v>
      </c>
      <c r="I156">
        <v>182.75</v>
      </c>
      <c r="J156">
        <v>0</v>
      </c>
      <c r="K156">
        <v>182.75</v>
      </c>
      <c r="L156">
        <v>110</v>
      </c>
      <c r="M156">
        <v>72.75</v>
      </c>
      <c r="N156" t="s">
        <v>47</v>
      </c>
      <c r="O156" t="s">
        <v>28</v>
      </c>
    </row>
    <row r="157" spans="1:15" x14ac:dyDescent="0.35">
      <c r="A157" t="s">
        <v>320</v>
      </c>
      <c r="B157" s="1">
        <v>45856</v>
      </c>
      <c r="C157" t="s">
        <v>84</v>
      </c>
      <c r="D157" t="s">
        <v>58</v>
      </c>
      <c r="E157" t="s">
        <v>18</v>
      </c>
      <c r="F157" t="s">
        <v>19</v>
      </c>
      <c r="G157" t="s">
        <v>20</v>
      </c>
      <c r="H157">
        <v>1</v>
      </c>
      <c r="I157">
        <v>294.17</v>
      </c>
      <c r="J157">
        <v>0</v>
      </c>
      <c r="K157">
        <v>294.17</v>
      </c>
      <c r="L157">
        <v>170</v>
      </c>
      <c r="M157">
        <v>124.17</v>
      </c>
      <c r="N157" t="s">
        <v>38</v>
      </c>
      <c r="O157" t="s">
        <v>28</v>
      </c>
    </row>
    <row r="158" spans="1:15" x14ac:dyDescent="0.35">
      <c r="A158" t="s">
        <v>321</v>
      </c>
      <c r="B158" s="1">
        <v>45863</v>
      </c>
      <c r="C158" t="s">
        <v>143</v>
      </c>
      <c r="D158" t="s">
        <v>45</v>
      </c>
      <c r="E158" t="s">
        <v>46</v>
      </c>
      <c r="F158" t="s">
        <v>41</v>
      </c>
      <c r="G158" t="s">
        <v>37</v>
      </c>
      <c r="H158">
        <v>3</v>
      </c>
      <c r="I158">
        <v>869.2</v>
      </c>
      <c r="J158">
        <v>0</v>
      </c>
      <c r="K158">
        <v>2607.6</v>
      </c>
      <c r="L158">
        <v>1800</v>
      </c>
      <c r="M158">
        <v>807.6</v>
      </c>
      <c r="N158" t="s">
        <v>21</v>
      </c>
      <c r="O158" t="s">
        <v>42</v>
      </c>
    </row>
    <row r="159" spans="1:15" x14ac:dyDescent="0.35">
      <c r="A159" t="s">
        <v>322</v>
      </c>
      <c r="B159" s="1">
        <v>45774</v>
      </c>
      <c r="C159" t="s">
        <v>93</v>
      </c>
      <c r="D159" t="s">
        <v>66</v>
      </c>
      <c r="E159" t="s">
        <v>61</v>
      </c>
      <c r="F159" t="s">
        <v>27</v>
      </c>
      <c r="G159" t="s">
        <v>20</v>
      </c>
      <c r="H159">
        <v>2</v>
      </c>
      <c r="I159">
        <v>184.19</v>
      </c>
      <c r="J159">
        <v>0.2</v>
      </c>
      <c r="K159">
        <v>294.7</v>
      </c>
      <c r="L159">
        <v>220</v>
      </c>
      <c r="M159">
        <v>74.7</v>
      </c>
      <c r="N159" t="s">
        <v>47</v>
      </c>
      <c r="O159" t="s">
        <v>28</v>
      </c>
    </row>
    <row r="160" spans="1:15" x14ac:dyDescent="0.35">
      <c r="A160" t="s">
        <v>323</v>
      </c>
      <c r="B160" s="1">
        <v>45752</v>
      </c>
      <c r="C160" t="s">
        <v>324</v>
      </c>
      <c r="D160" t="s">
        <v>31</v>
      </c>
      <c r="E160" t="s">
        <v>32</v>
      </c>
      <c r="F160" t="s">
        <v>27</v>
      </c>
      <c r="G160" t="s">
        <v>20</v>
      </c>
      <c r="H160">
        <v>3</v>
      </c>
      <c r="I160">
        <v>204.03</v>
      </c>
      <c r="J160">
        <v>0.1</v>
      </c>
      <c r="K160">
        <v>550.88</v>
      </c>
      <c r="L160">
        <v>330</v>
      </c>
      <c r="M160">
        <v>220.88</v>
      </c>
      <c r="N160" t="s">
        <v>38</v>
      </c>
      <c r="O160" t="s">
        <v>42</v>
      </c>
    </row>
    <row r="161" spans="1:15" x14ac:dyDescent="0.35">
      <c r="A161" t="s">
        <v>325</v>
      </c>
      <c r="B161" s="1">
        <v>45698</v>
      </c>
      <c r="C161" t="s">
        <v>326</v>
      </c>
      <c r="D161" t="s">
        <v>60</v>
      </c>
      <c r="E161" t="s">
        <v>61</v>
      </c>
      <c r="F161" t="s">
        <v>67</v>
      </c>
      <c r="G161" t="s">
        <v>37</v>
      </c>
      <c r="H161">
        <v>6</v>
      </c>
      <c r="I161">
        <v>76.11</v>
      </c>
      <c r="J161">
        <v>0</v>
      </c>
      <c r="K161">
        <v>456.66</v>
      </c>
      <c r="L161">
        <v>240</v>
      </c>
      <c r="M161">
        <v>216.66</v>
      </c>
      <c r="N161" t="s">
        <v>47</v>
      </c>
      <c r="O161" t="s">
        <v>28</v>
      </c>
    </row>
    <row r="162" spans="1:15" x14ac:dyDescent="0.35">
      <c r="A162" t="s">
        <v>327</v>
      </c>
      <c r="B162" s="1">
        <v>46010</v>
      </c>
      <c r="C162" t="s">
        <v>328</v>
      </c>
      <c r="D162" t="s">
        <v>66</v>
      </c>
      <c r="E162" t="s">
        <v>61</v>
      </c>
      <c r="F162" t="s">
        <v>41</v>
      </c>
      <c r="G162" t="s">
        <v>37</v>
      </c>
      <c r="H162">
        <v>1</v>
      </c>
      <c r="I162">
        <v>811.17</v>
      </c>
      <c r="J162">
        <v>0</v>
      </c>
      <c r="K162">
        <v>811.17</v>
      </c>
      <c r="L162">
        <v>600</v>
      </c>
      <c r="M162">
        <v>211.17</v>
      </c>
      <c r="N162" t="s">
        <v>47</v>
      </c>
      <c r="O162" t="s">
        <v>28</v>
      </c>
    </row>
    <row r="163" spans="1:15" x14ac:dyDescent="0.35">
      <c r="A163" t="s">
        <v>329</v>
      </c>
      <c r="B163" s="1">
        <v>46016</v>
      </c>
      <c r="C163" t="s">
        <v>330</v>
      </c>
      <c r="D163" t="s">
        <v>66</v>
      </c>
      <c r="E163" t="s">
        <v>61</v>
      </c>
      <c r="F163" t="s">
        <v>78</v>
      </c>
      <c r="G163" t="s">
        <v>20</v>
      </c>
      <c r="H163">
        <v>3</v>
      </c>
      <c r="I163">
        <v>310.49</v>
      </c>
      <c r="J163">
        <v>0.1</v>
      </c>
      <c r="K163">
        <v>838.32</v>
      </c>
      <c r="L163">
        <v>600</v>
      </c>
      <c r="M163">
        <v>238.32</v>
      </c>
      <c r="N163" t="s">
        <v>33</v>
      </c>
      <c r="O163" t="s">
        <v>28</v>
      </c>
    </row>
    <row r="164" spans="1:15" x14ac:dyDescent="0.35">
      <c r="A164" t="s">
        <v>331</v>
      </c>
      <c r="B164" s="1">
        <v>45780</v>
      </c>
      <c r="C164" t="s">
        <v>332</v>
      </c>
      <c r="D164" t="s">
        <v>31</v>
      </c>
      <c r="E164" t="s">
        <v>32</v>
      </c>
      <c r="F164" t="s">
        <v>41</v>
      </c>
      <c r="G164" t="s">
        <v>37</v>
      </c>
      <c r="H164">
        <v>5</v>
      </c>
      <c r="I164">
        <v>867.31</v>
      </c>
      <c r="J164">
        <v>0</v>
      </c>
      <c r="K164">
        <v>4336.55</v>
      </c>
      <c r="L164">
        <v>3000</v>
      </c>
      <c r="M164">
        <v>1336.55</v>
      </c>
      <c r="N164" t="s">
        <v>33</v>
      </c>
      <c r="O164" t="s">
        <v>42</v>
      </c>
    </row>
    <row r="165" spans="1:15" x14ac:dyDescent="0.35">
      <c r="A165" t="s">
        <v>333</v>
      </c>
      <c r="B165" s="1">
        <v>45975</v>
      </c>
      <c r="C165" t="s">
        <v>95</v>
      </c>
      <c r="D165" t="s">
        <v>17</v>
      </c>
      <c r="E165" t="s">
        <v>18</v>
      </c>
      <c r="F165" t="s">
        <v>78</v>
      </c>
      <c r="G165" t="s">
        <v>20</v>
      </c>
      <c r="H165">
        <v>3</v>
      </c>
      <c r="I165">
        <v>336.67</v>
      </c>
      <c r="J165">
        <v>0.05</v>
      </c>
      <c r="K165">
        <v>959.51</v>
      </c>
      <c r="L165">
        <v>600</v>
      </c>
      <c r="M165">
        <v>359.51</v>
      </c>
      <c r="N165" t="s">
        <v>47</v>
      </c>
      <c r="O165" t="s">
        <v>42</v>
      </c>
    </row>
    <row r="166" spans="1:15" x14ac:dyDescent="0.35">
      <c r="A166" t="s">
        <v>334</v>
      </c>
      <c r="B166" s="1">
        <v>45660</v>
      </c>
      <c r="C166" t="s">
        <v>335</v>
      </c>
      <c r="D166" t="s">
        <v>45</v>
      </c>
      <c r="E166" t="s">
        <v>46</v>
      </c>
      <c r="F166" t="s">
        <v>41</v>
      </c>
      <c r="G166" t="s">
        <v>37</v>
      </c>
      <c r="H166">
        <v>1</v>
      </c>
      <c r="I166">
        <v>887.59</v>
      </c>
      <c r="J166">
        <v>0</v>
      </c>
      <c r="K166">
        <v>887.59</v>
      </c>
      <c r="L166">
        <v>600</v>
      </c>
      <c r="M166">
        <v>287.58999999999997</v>
      </c>
      <c r="N166" t="s">
        <v>38</v>
      </c>
      <c r="O166" t="s">
        <v>28</v>
      </c>
    </row>
    <row r="167" spans="1:15" x14ac:dyDescent="0.35">
      <c r="A167" t="s">
        <v>336</v>
      </c>
      <c r="B167" s="1">
        <v>45900</v>
      </c>
      <c r="C167" t="s">
        <v>337</v>
      </c>
      <c r="D167" t="s">
        <v>66</v>
      </c>
      <c r="E167" t="s">
        <v>61</v>
      </c>
      <c r="F167" t="s">
        <v>36</v>
      </c>
      <c r="G167" t="s">
        <v>37</v>
      </c>
      <c r="H167">
        <v>6</v>
      </c>
      <c r="I167">
        <v>116.84</v>
      </c>
      <c r="J167">
        <v>0</v>
      </c>
      <c r="K167">
        <v>701.04</v>
      </c>
      <c r="L167">
        <v>360</v>
      </c>
      <c r="M167">
        <v>341.04</v>
      </c>
      <c r="N167" t="s">
        <v>47</v>
      </c>
      <c r="O167" t="s">
        <v>42</v>
      </c>
    </row>
    <row r="168" spans="1:15" x14ac:dyDescent="0.35">
      <c r="A168" t="s">
        <v>338</v>
      </c>
      <c r="B168" s="1">
        <v>45807</v>
      </c>
      <c r="C168" t="s">
        <v>339</v>
      </c>
      <c r="D168" t="s">
        <v>50</v>
      </c>
      <c r="E168" t="s">
        <v>32</v>
      </c>
      <c r="F168" t="s">
        <v>27</v>
      </c>
      <c r="G168" t="s">
        <v>20</v>
      </c>
      <c r="H168">
        <v>2</v>
      </c>
      <c r="I168">
        <v>182.51</v>
      </c>
      <c r="J168">
        <v>0.05</v>
      </c>
      <c r="K168">
        <v>346.77</v>
      </c>
      <c r="L168">
        <v>220</v>
      </c>
      <c r="M168">
        <v>126.77</v>
      </c>
      <c r="N168" t="s">
        <v>21</v>
      </c>
      <c r="O168" t="s">
        <v>28</v>
      </c>
    </row>
    <row r="169" spans="1:15" x14ac:dyDescent="0.35">
      <c r="A169" t="s">
        <v>340</v>
      </c>
      <c r="B169" s="1">
        <v>45864</v>
      </c>
      <c r="C169" t="s">
        <v>341</v>
      </c>
      <c r="D169" t="s">
        <v>60</v>
      </c>
      <c r="E169" t="s">
        <v>61</v>
      </c>
      <c r="F169" t="s">
        <v>51</v>
      </c>
      <c r="G169" t="s">
        <v>37</v>
      </c>
      <c r="H169">
        <v>2</v>
      </c>
      <c r="I169">
        <v>250.69</v>
      </c>
      <c r="J169">
        <v>0.1</v>
      </c>
      <c r="K169">
        <v>451.24</v>
      </c>
      <c r="L169">
        <v>300</v>
      </c>
      <c r="M169">
        <v>151.24</v>
      </c>
      <c r="N169" t="s">
        <v>21</v>
      </c>
      <c r="O169" t="s">
        <v>28</v>
      </c>
    </row>
    <row r="170" spans="1:15" x14ac:dyDescent="0.35">
      <c r="A170" t="s">
        <v>342</v>
      </c>
      <c r="B170" s="1">
        <v>45677</v>
      </c>
      <c r="C170" t="s">
        <v>40</v>
      </c>
      <c r="D170" t="s">
        <v>17</v>
      </c>
      <c r="E170" t="s">
        <v>18</v>
      </c>
      <c r="F170" t="s">
        <v>27</v>
      </c>
      <c r="G170" t="s">
        <v>20</v>
      </c>
      <c r="H170">
        <v>2</v>
      </c>
      <c r="I170">
        <v>195.03</v>
      </c>
      <c r="J170">
        <v>0.05</v>
      </c>
      <c r="K170">
        <v>370.56</v>
      </c>
      <c r="L170">
        <v>220</v>
      </c>
      <c r="M170">
        <v>150.56</v>
      </c>
      <c r="N170" t="s">
        <v>33</v>
      </c>
      <c r="O170" t="s">
        <v>22</v>
      </c>
    </row>
    <row r="171" spans="1:15" x14ac:dyDescent="0.35">
      <c r="A171" t="s">
        <v>343</v>
      </c>
      <c r="B171" s="1">
        <v>45919</v>
      </c>
      <c r="C171" t="s">
        <v>344</v>
      </c>
      <c r="D171" t="s">
        <v>45</v>
      </c>
      <c r="E171" t="s">
        <v>46</v>
      </c>
      <c r="F171" t="s">
        <v>108</v>
      </c>
      <c r="G171" t="s">
        <v>37</v>
      </c>
      <c r="H171">
        <v>6</v>
      </c>
      <c r="I171">
        <v>418.61</v>
      </c>
      <c r="J171">
        <v>0</v>
      </c>
      <c r="K171">
        <v>2511.66</v>
      </c>
      <c r="L171">
        <v>1680</v>
      </c>
      <c r="M171">
        <v>831.66</v>
      </c>
      <c r="N171" t="s">
        <v>47</v>
      </c>
      <c r="O171" t="s">
        <v>22</v>
      </c>
    </row>
    <row r="172" spans="1:15" x14ac:dyDescent="0.35">
      <c r="A172" t="s">
        <v>345</v>
      </c>
      <c r="B172" s="1">
        <v>45882</v>
      </c>
      <c r="C172" t="s">
        <v>346</v>
      </c>
      <c r="D172" t="s">
        <v>58</v>
      </c>
      <c r="E172" t="s">
        <v>18</v>
      </c>
      <c r="F172" t="s">
        <v>108</v>
      </c>
      <c r="G172" t="s">
        <v>37</v>
      </c>
      <c r="H172">
        <v>3</v>
      </c>
      <c r="I172">
        <v>408.81</v>
      </c>
      <c r="J172">
        <v>0.15</v>
      </c>
      <c r="K172">
        <v>1042.47</v>
      </c>
      <c r="L172">
        <v>840</v>
      </c>
      <c r="M172">
        <v>202.47</v>
      </c>
      <c r="N172" t="s">
        <v>33</v>
      </c>
      <c r="O172" t="s">
        <v>28</v>
      </c>
    </row>
    <row r="173" spans="1:15" x14ac:dyDescent="0.35">
      <c r="A173" t="s">
        <v>347</v>
      </c>
      <c r="B173" s="1">
        <v>45982</v>
      </c>
      <c r="C173" t="s">
        <v>348</v>
      </c>
      <c r="D173" t="s">
        <v>31</v>
      </c>
      <c r="E173" t="s">
        <v>32</v>
      </c>
      <c r="F173" t="s">
        <v>19</v>
      </c>
      <c r="G173" t="s">
        <v>20</v>
      </c>
      <c r="H173">
        <v>2</v>
      </c>
      <c r="I173">
        <v>275.73</v>
      </c>
      <c r="J173">
        <v>0</v>
      </c>
      <c r="K173">
        <v>551.46</v>
      </c>
      <c r="L173">
        <v>340</v>
      </c>
      <c r="M173">
        <v>211.46</v>
      </c>
      <c r="N173" t="s">
        <v>47</v>
      </c>
      <c r="O173" t="s">
        <v>42</v>
      </c>
    </row>
    <row r="174" spans="1:15" x14ac:dyDescent="0.35">
      <c r="A174" t="s">
        <v>349</v>
      </c>
      <c r="B174" s="1">
        <v>45888</v>
      </c>
      <c r="C174" t="s">
        <v>167</v>
      </c>
      <c r="D174" t="s">
        <v>31</v>
      </c>
      <c r="E174" t="s">
        <v>32</v>
      </c>
      <c r="F174" t="s">
        <v>41</v>
      </c>
      <c r="G174" t="s">
        <v>37</v>
      </c>
      <c r="H174">
        <v>2</v>
      </c>
      <c r="I174">
        <v>836.02</v>
      </c>
      <c r="J174">
        <v>0.15</v>
      </c>
      <c r="K174">
        <v>1421.23</v>
      </c>
      <c r="L174">
        <v>1200</v>
      </c>
      <c r="M174">
        <v>221.23</v>
      </c>
      <c r="N174" t="s">
        <v>21</v>
      </c>
      <c r="O174" t="s">
        <v>42</v>
      </c>
    </row>
    <row r="175" spans="1:15" x14ac:dyDescent="0.35">
      <c r="A175" t="s">
        <v>350</v>
      </c>
      <c r="B175" s="1">
        <v>45821</v>
      </c>
      <c r="C175" t="s">
        <v>351</v>
      </c>
      <c r="D175" t="s">
        <v>50</v>
      </c>
      <c r="E175" t="s">
        <v>32</v>
      </c>
      <c r="F175" t="s">
        <v>51</v>
      </c>
      <c r="G175" t="s">
        <v>37</v>
      </c>
      <c r="H175">
        <v>2</v>
      </c>
      <c r="I175">
        <v>230.29</v>
      </c>
      <c r="J175">
        <v>0</v>
      </c>
      <c r="K175">
        <v>460.58</v>
      </c>
      <c r="L175">
        <v>300</v>
      </c>
      <c r="M175">
        <v>160.58000000000001</v>
      </c>
      <c r="N175" t="s">
        <v>47</v>
      </c>
      <c r="O175" t="s">
        <v>42</v>
      </c>
    </row>
    <row r="176" spans="1:15" x14ac:dyDescent="0.35">
      <c r="A176" t="s">
        <v>352</v>
      </c>
      <c r="B176" s="1">
        <v>46018</v>
      </c>
      <c r="C176" t="s">
        <v>153</v>
      </c>
      <c r="D176" t="s">
        <v>60</v>
      </c>
      <c r="E176" t="s">
        <v>61</v>
      </c>
      <c r="F176" t="s">
        <v>19</v>
      </c>
      <c r="G176" t="s">
        <v>20</v>
      </c>
      <c r="H176">
        <v>1</v>
      </c>
      <c r="I176">
        <v>286.52</v>
      </c>
      <c r="J176">
        <v>0.05</v>
      </c>
      <c r="K176">
        <v>272.19</v>
      </c>
      <c r="L176">
        <v>170</v>
      </c>
      <c r="M176">
        <v>102.19</v>
      </c>
      <c r="N176" t="s">
        <v>21</v>
      </c>
      <c r="O176" t="s">
        <v>42</v>
      </c>
    </row>
    <row r="177" spans="1:15" x14ac:dyDescent="0.35">
      <c r="A177" t="s">
        <v>353</v>
      </c>
      <c r="B177" s="1">
        <v>45861</v>
      </c>
      <c r="C177" t="s">
        <v>354</v>
      </c>
      <c r="D177" t="s">
        <v>50</v>
      </c>
      <c r="E177" t="s">
        <v>32</v>
      </c>
      <c r="F177" t="s">
        <v>41</v>
      </c>
      <c r="G177" t="s">
        <v>37</v>
      </c>
      <c r="H177">
        <v>4</v>
      </c>
      <c r="I177">
        <v>872.18</v>
      </c>
      <c r="J177">
        <v>0.1</v>
      </c>
      <c r="K177">
        <v>3139.85</v>
      </c>
      <c r="L177">
        <v>2400</v>
      </c>
      <c r="M177">
        <v>739.85</v>
      </c>
      <c r="N177" t="s">
        <v>21</v>
      </c>
      <c r="O177" t="s">
        <v>28</v>
      </c>
    </row>
    <row r="178" spans="1:15" x14ac:dyDescent="0.35">
      <c r="A178" t="s">
        <v>355</v>
      </c>
      <c r="B178" s="1">
        <v>45991</v>
      </c>
      <c r="C178" t="s">
        <v>356</v>
      </c>
      <c r="D178" t="s">
        <v>66</v>
      </c>
      <c r="E178" t="s">
        <v>61</v>
      </c>
      <c r="F178" t="s">
        <v>41</v>
      </c>
      <c r="G178" t="s">
        <v>37</v>
      </c>
      <c r="H178">
        <v>2</v>
      </c>
      <c r="I178">
        <v>811.85</v>
      </c>
      <c r="J178">
        <v>0.15</v>
      </c>
      <c r="K178">
        <v>1380.14</v>
      </c>
      <c r="L178">
        <v>1200</v>
      </c>
      <c r="M178">
        <v>180.14</v>
      </c>
      <c r="N178" t="s">
        <v>21</v>
      </c>
      <c r="O178" t="s">
        <v>28</v>
      </c>
    </row>
    <row r="179" spans="1:15" x14ac:dyDescent="0.35">
      <c r="A179" t="s">
        <v>357</v>
      </c>
      <c r="B179" s="1">
        <v>45818</v>
      </c>
      <c r="C179" t="s">
        <v>358</v>
      </c>
      <c r="D179" t="s">
        <v>60</v>
      </c>
      <c r="E179" t="s">
        <v>61</v>
      </c>
      <c r="F179" t="s">
        <v>36</v>
      </c>
      <c r="G179" t="s">
        <v>37</v>
      </c>
      <c r="H179">
        <v>1</v>
      </c>
      <c r="I179">
        <v>129.38999999999999</v>
      </c>
      <c r="J179">
        <v>0</v>
      </c>
      <c r="K179">
        <v>129.38999999999999</v>
      </c>
      <c r="L179">
        <v>60</v>
      </c>
      <c r="M179">
        <v>69.39</v>
      </c>
      <c r="N179" t="s">
        <v>33</v>
      </c>
      <c r="O179" t="s">
        <v>42</v>
      </c>
    </row>
    <row r="180" spans="1:15" x14ac:dyDescent="0.35">
      <c r="A180" t="s">
        <v>359</v>
      </c>
      <c r="B180" s="1">
        <v>45842</v>
      </c>
      <c r="C180" t="s">
        <v>360</v>
      </c>
      <c r="D180" t="s">
        <v>45</v>
      </c>
      <c r="E180" t="s">
        <v>46</v>
      </c>
      <c r="F180" t="s">
        <v>51</v>
      </c>
      <c r="G180" t="s">
        <v>37</v>
      </c>
      <c r="H180">
        <v>1</v>
      </c>
      <c r="I180">
        <v>238.69</v>
      </c>
      <c r="J180">
        <v>0.05</v>
      </c>
      <c r="K180">
        <v>226.76</v>
      </c>
      <c r="L180">
        <v>150</v>
      </c>
      <c r="M180">
        <v>76.760000000000005</v>
      </c>
      <c r="N180" t="s">
        <v>21</v>
      </c>
      <c r="O180" t="s">
        <v>28</v>
      </c>
    </row>
    <row r="181" spans="1:15" x14ac:dyDescent="0.35">
      <c r="A181" t="s">
        <v>361</v>
      </c>
      <c r="B181" s="1">
        <v>45965</v>
      </c>
      <c r="C181" t="s">
        <v>362</v>
      </c>
      <c r="D181" t="s">
        <v>25</v>
      </c>
      <c r="E181" t="s">
        <v>26</v>
      </c>
      <c r="F181" t="s">
        <v>108</v>
      </c>
      <c r="G181" t="s">
        <v>37</v>
      </c>
      <c r="H181">
        <v>1</v>
      </c>
      <c r="I181">
        <v>451.96</v>
      </c>
      <c r="J181">
        <v>0.05</v>
      </c>
      <c r="K181">
        <v>429.36</v>
      </c>
      <c r="L181">
        <v>280</v>
      </c>
      <c r="M181">
        <v>149.36000000000001</v>
      </c>
      <c r="N181" t="s">
        <v>38</v>
      </c>
      <c r="O181" t="s">
        <v>28</v>
      </c>
    </row>
    <row r="182" spans="1:15" x14ac:dyDescent="0.35">
      <c r="A182" t="s">
        <v>363</v>
      </c>
      <c r="B182" s="1">
        <v>45662</v>
      </c>
      <c r="C182" t="s">
        <v>71</v>
      </c>
      <c r="D182" t="s">
        <v>45</v>
      </c>
      <c r="E182" t="s">
        <v>46</v>
      </c>
      <c r="F182" t="s">
        <v>78</v>
      </c>
      <c r="G182" t="s">
        <v>20</v>
      </c>
      <c r="H182">
        <v>1</v>
      </c>
      <c r="I182">
        <v>350.1</v>
      </c>
      <c r="J182">
        <v>0.05</v>
      </c>
      <c r="K182">
        <v>332.6</v>
      </c>
      <c r="L182">
        <v>200</v>
      </c>
      <c r="M182">
        <v>132.6</v>
      </c>
      <c r="N182" t="s">
        <v>21</v>
      </c>
      <c r="O182" t="s">
        <v>28</v>
      </c>
    </row>
    <row r="183" spans="1:15" x14ac:dyDescent="0.35">
      <c r="A183" t="s">
        <v>364</v>
      </c>
      <c r="B183" s="1">
        <v>45683</v>
      </c>
      <c r="C183" t="s">
        <v>365</v>
      </c>
      <c r="D183" t="s">
        <v>25</v>
      </c>
      <c r="E183" t="s">
        <v>26</v>
      </c>
      <c r="F183" t="s">
        <v>51</v>
      </c>
      <c r="G183" t="s">
        <v>37</v>
      </c>
      <c r="H183">
        <v>3</v>
      </c>
      <c r="I183">
        <v>257.05</v>
      </c>
      <c r="J183">
        <v>0</v>
      </c>
      <c r="K183">
        <v>771.15</v>
      </c>
      <c r="L183">
        <v>450</v>
      </c>
      <c r="M183">
        <v>321.14999999999998</v>
      </c>
      <c r="N183" t="s">
        <v>38</v>
      </c>
      <c r="O183" t="s">
        <v>28</v>
      </c>
    </row>
    <row r="184" spans="1:15" x14ac:dyDescent="0.35">
      <c r="A184" t="s">
        <v>366</v>
      </c>
      <c r="B184" s="1">
        <v>45799</v>
      </c>
      <c r="C184" t="s">
        <v>367</v>
      </c>
      <c r="D184" t="s">
        <v>50</v>
      </c>
      <c r="E184" t="s">
        <v>32</v>
      </c>
      <c r="F184" t="s">
        <v>27</v>
      </c>
      <c r="G184" t="s">
        <v>20</v>
      </c>
      <c r="H184">
        <v>3</v>
      </c>
      <c r="I184">
        <v>196.75</v>
      </c>
      <c r="J184">
        <v>0</v>
      </c>
      <c r="K184">
        <v>590.25</v>
      </c>
      <c r="L184">
        <v>330</v>
      </c>
      <c r="M184">
        <v>260.25</v>
      </c>
      <c r="N184" t="s">
        <v>21</v>
      </c>
      <c r="O184" t="s">
        <v>22</v>
      </c>
    </row>
    <row r="185" spans="1:15" x14ac:dyDescent="0.35">
      <c r="A185" t="s">
        <v>368</v>
      </c>
      <c r="B185" s="1">
        <v>45746</v>
      </c>
      <c r="C185" t="s">
        <v>369</v>
      </c>
      <c r="D185" t="s">
        <v>25</v>
      </c>
      <c r="E185" t="s">
        <v>26</v>
      </c>
      <c r="F185" t="s">
        <v>19</v>
      </c>
      <c r="G185" t="s">
        <v>20</v>
      </c>
      <c r="H185">
        <v>4</v>
      </c>
      <c r="I185">
        <v>287.64999999999998</v>
      </c>
      <c r="J185">
        <v>0.05</v>
      </c>
      <c r="K185">
        <v>1093.07</v>
      </c>
      <c r="L185">
        <v>680</v>
      </c>
      <c r="M185">
        <v>413.07</v>
      </c>
      <c r="N185" t="s">
        <v>47</v>
      </c>
      <c r="O185" t="s">
        <v>28</v>
      </c>
    </row>
    <row r="186" spans="1:15" x14ac:dyDescent="0.35">
      <c r="A186" t="s">
        <v>370</v>
      </c>
      <c r="B186" s="1">
        <v>45759</v>
      </c>
      <c r="C186" t="s">
        <v>139</v>
      </c>
      <c r="D186" t="s">
        <v>58</v>
      </c>
      <c r="E186" t="s">
        <v>18</v>
      </c>
      <c r="F186" t="s">
        <v>78</v>
      </c>
      <c r="G186" t="s">
        <v>20</v>
      </c>
      <c r="H186">
        <v>5</v>
      </c>
      <c r="I186">
        <v>322.14999999999998</v>
      </c>
      <c r="J186">
        <v>0.1</v>
      </c>
      <c r="K186">
        <v>1449.68</v>
      </c>
      <c r="L186">
        <v>1000</v>
      </c>
      <c r="M186">
        <v>449.68</v>
      </c>
      <c r="N186" t="s">
        <v>21</v>
      </c>
      <c r="O186" t="s">
        <v>28</v>
      </c>
    </row>
    <row r="187" spans="1:15" x14ac:dyDescent="0.35">
      <c r="A187" t="s">
        <v>371</v>
      </c>
      <c r="B187" s="1">
        <v>45746</v>
      </c>
      <c r="C187" t="s">
        <v>337</v>
      </c>
      <c r="D187" t="s">
        <v>50</v>
      </c>
      <c r="E187" t="s">
        <v>32</v>
      </c>
      <c r="F187" t="s">
        <v>51</v>
      </c>
      <c r="G187" t="s">
        <v>37</v>
      </c>
      <c r="H187">
        <v>3</v>
      </c>
      <c r="I187">
        <v>245.58</v>
      </c>
      <c r="J187">
        <v>0.05</v>
      </c>
      <c r="K187">
        <v>699.9</v>
      </c>
      <c r="L187">
        <v>450</v>
      </c>
      <c r="M187">
        <v>249.9</v>
      </c>
      <c r="N187" t="s">
        <v>47</v>
      </c>
      <c r="O187" t="s">
        <v>42</v>
      </c>
    </row>
    <row r="188" spans="1:15" x14ac:dyDescent="0.35">
      <c r="A188" t="s">
        <v>372</v>
      </c>
      <c r="B188" s="1">
        <v>45881</v>
      </c>
      <c r="C188" t="s">
        <v>97</v>
      </c>
      <c r="D188" t="s">
        <v>60</v>
      </c>
      <c r="E188" t="s">
        <v>61</v>
      </c>
      <c r="F188" t="s">
        <v>36</v>
      </c>
      <c r="G188" t="s">
        <v>37</v>
      </c>
      <c r="H188">
        <v>1</v>
      </c>
      <c r="I188">
        <v>123.41</v>
      </c>
      <c r="J188">
        <v>0</v>
      </c>
      <c r="K188">
        <v>123.41</v>
      </c>
      <c r="L188">
        <v>60</v>
      </c>
      <c r="M188">
        <v>63.41</v>
      </c>
      <c r="N188" t="s">
        <v>47</v>
      </c>
      <c r="O188" t="s">
        <v>28</v>
      </c>
    </row>
    <row r="189" spans="1:15" x14ac:dyDescent="0.35">
      <c r="A189" t="s">
        <v>373</v>
      </c>
      <c r="B189" s="1">
        <v>45660</v>
      </c>
      <c r="C189" t="s">
        <v>90</v>
      </c>
      <c r="D189" t="s">
        <v>50</v>
      </c>
      <c r="E189" t="s">
        <v>32</v>
      </c>
      <c r="F189" t="s">
        <v>108</v>
      </c>
      <c r="G189" t="s">
        <v>37</v>
      </c>
      <c r="H189">
        <v>6</v>
      </c>
      <c r="I189">
        <v>448.92</v>
      </c>
      <c r="J189">
        <v>0.1</v>
      </c>
      <c r="K189">
        <v>2424.17</v>
      </c>
      <c r="L189">
        <v>1680</v>
      </c>
      <c r="M189">
        <v>744.17</v>
      </c>
      <c r="N189" t="s">
        <v>47</v>
      </c>
      <c r="O189" t="s">
        <v>42</v>
      </c>
    </row>
    <row r="190" spans="1:15" x14ac:dyDescent="0.35">
      <c r="A190" t="s">
        <v>374</v>
      </c>
      <c r="B190" s="1">
        <v>45957</v>
      </c>
      <c r="C190" t="s">
        <v>375</v>
      </c>
      <c r="D190" t="s">
        <v>17</v>
      </c>
      <c r="E190" t="s">
        <v>18</v>
      </c>
      <c r="F190" t="s">
        <v>51</v>
      </c>
      <c r="G190" t="s">
        <v>37</v>
      </c>
      <c r="H190">
        <v>2</v>
      </c>
      <c r="I190">
        <v>251.3</v>
      </c>
      <c r="J190">
        <v>0.05</v>
      </c>
      <c r="K190">
        <v>477.47</v>
      </c>
      <c r="L190">
        <v>300</v>
      </c>
      <c r="M190">
        <v>177.47</v>
      </c>
      <c r="N190" t="s">
        <v>47</v>
      </c>
      <c r="O190" t="s">
        <v>22</v>
      </c>
    </row>
    <row r="191" spans="1:15" x14ac:dyDescent="0.35">
      <c r="A191" t="s">
        <v>376</v>
      </c>
      <c r="B191" s="1">
        <v>45764</v>
      </c>
      <c r="C191" t="s">
        <v>377</v>
      </c>
      <c r="D191" t="s">
        <v>45</v>
      </c>
      <c r="E191" t="s">
        <v>46</v>
      </c>
      <c r="F191" t="s">
        <v>27</v>
      </c>
      <c r="G191" t="s">
        <v>20</v>
      </c>
      <c r="H191">
        <v>3</v>
      </c>
      <c r="I191">
        <v>186.51</v>
      </c>
      <c r="J191">
        <v>0.15</v>
      </c>
      <c r="K191">
        <v>475.6</v>
      </c>
      <c r="L191">
        <v>330</v>
      </c>
      <c r="M191">
        <v>145.6</v>
      </c>
      <c r="N191" t="s">
        <v>21</v>
      </c>
      <c r="O191" t="s">
        <v>22</v>
      </c>
    </row>
    <row r="192" spans="1:15" x14ac:dyDescent="0.35">
      <c r="A192" t="s">
        <v>378</v>
      </c>
      <c r="B192" s="1">
        <v>45932</v>
      </c>
      <c r="C192" t="s">
        <v>379</v>
      </c>
      <c r="D192" t="s">
        <v>66</v>
      </c>
      <c r="E192" t="s">
        <v>61</v>
      </c>
      <c r="F192" t="s">
        <v>78</v>
      </c>
      <c r="G192" t="s">
        <v>20</v>
      </c>
      <c r="H192">
        <v>2</v>
      </c>
      <c r="I192">
        <v>320.79000000000002</v>
      </c>
      <c r="J192">
        <v>0</v>
      </c>
      <c r="K192">
        <v>641.58000000000004</v>
      </c>
      <c r="L192">
        <v>400</v>
      </c>
      <c r="M192">
        <v>241.58</v>
      </c>
      <c r="N192" t="s">
        <v>47</v>
      </c>
      <c r="O192" t="s">
        <v>28</v>
      </c>
    </row>
    <row r="193" spans="1:15" x14ac:dyDescent="0.35">
      <c r="A193" t="s">
        <v>380</v>
      </c>
      <c r="B193" s="1">
        <v>45815</v>
      </c>
      <c r="C193" t="s">
        <v>381</v>
      </c>
      <c r="D193" t="s">
        <v>66</v>
      </c>
      <c r="E193" t="s">
        <v>61</v>
      </c>
      <c r="F193" t="s">
        <v>108</v>
      </c>
      <c r="G193" t="s">
        <v>37</v>
      </c>
      <c r="H193">
        <v>1</v>
      </c>
      <c r="I193">
        <v>405.65</v>
      </c>
      <c r="J193">
        <v>0</v>
      </c>
      <c r="K193">
        <v>405.65</v>
      </c>
      <c r="L193">
        <v>280</v>
      </c>
      <c r="M193">
        <v>125.65</v>
      </c>
      <c r="N193" t="s">
        <v>38</v>
      </c>
      <c r="O193" t="s">
        <v>28</v>
      </c>
    </row>
    <row r="194" spans="1:15" x14ac:dyDescent="0.35">
      <c r="A194" t="s">
        <v>382</v>
      </c>
      <c r="B194" s="1">
        <v>45816</v>
      </c>
      <c r="C194" t="s">
        <v>383</v>
      </c>
      <c r="D194" t="s">
        <v>45</v>
      </c>
      <c r="E194" t="s">
        <v>46</v>
      </c>
      <c r="F194" t="s">
        <v>51</v>
      </c>
      <c r="G194" t="s">
        <v>37</v>
      </c>
      <c r="H194">
        <v>1</v>
      </c>
      <c r="I194">
        <v>236</v>
      </c>
      <c r="J194">
        <v>0.05</v>
      </c>
      <c r="K194">
        <v>224.2</v>
      </c>
      <c r="L194">
        <v>150</v>
      </c>
      <c r="M194">
        <v>74.2</v>
      </c>
      <c r="N194" t="s">
        <v>47</v>
      </c>
      <c r="O194" t="s">
        <v>22</v>
      </c>
    </row>
    <row r="195" spans="1:15" x14ac:dyDescent="0.35">
      <c r="A195" t="s">
        <v>384</v>
      </c>
      <c r="B195" s="1">
        <v>45829</v>
      </c>
      <c r="C195" t="s">
        <v>270</v>
      </c>
      <c r="D195" t="s">
        <v>25</v>
      </c>
      <c r="E195" t="s">
        <v>26</v>
      </c>
      <c r="F195" t="s">
        <v>19</v>
      </c>
      <c r="G195" t="s">
        <v>20</v>
      </c>
      <c r="H195">
        <v>3</v>
      </c>
      <c r="I195">
        <v>282.76</v>
      </c>
      <c r="J195">
        <v>0.15</v>
      </c>
      <c r="K195">
        <v>721.04</v>
      </c>
      <c r="L195">
        <v>510</v>
      </c>
      <c r="M195">
        <v>211.04</v>
      </c>
      <c r="N195" t="s">
        <v>21</v>
      </c>
      <c r="O195" t="s">
        <v>42</v>
      </c>
    </row>
    <row r="196" spans="1:15" x14ac:dyDescent="0.35">
      <c r="A196" t="s">
        <v>385</v>
      </c>
      <c r="B196" s="1">
        <v>45778</v>
      </c>
      <c r="C196" t="s">
        <v>82</v>
      </c>
      <c r="D196" t="s">
        <v>50</v>
      </c>
      <c r="E196" t="s">
        <v>32</v>
      </c>
      <c r="F196" t="s">
        <v>108</v>
      </c>
      <c r="G196" t="s">
        <v>37</v>
      </c>
      <c r="H196">
        <v>5</v>
      </c>
      <c r="I196">
        <v>411.93</v>
      </c>
      <c r="J196">
        <v>0</v>
      </c>
      <c r="K196">
        <v>2059.65</v>
      </c>
      <c r="L196">
        <v>1400</v>
      </c>
      <c r="M196">
        <v>659.65</v>
      </c>
      <c r="N196" t="s">
        <v>21</v>
      </c>
      <c r="O196" t="s">
        <v>22</v>
      </c>
    </row>
    <row r="197" spans="1:15" x14ac:dyDescent="0.35">
      <c r="A197" t="s">
        <v>386</v>
      </c>
      <c r="B197" s="1">
        <v>45717</v>
      </c>
      <c r="C197" t="s">
        <v>238</v>
      </c>
      <c r="D197" t="s">
        <v>45</v>
      </c>
      <c r="E197" t="s">
        <v>46</v>
      </c>
      <c r="F197" t="s">
        <v>108</v>
      </c>
      <c r="G197" t="s">
        <v>37</v>
      </c>
      <c r="H197">
        <v>4</v>
      </c>
      <c r="I197">
        <v>407.17</v>
      </c>
      <c r="J197">
        <v>0.1</v>
      </c>
      <c r="K197">
        <v>1465.81</v>
      </c>
      <c r="L197">
        <v>1120</v>
      </c>
      <c r="M197">
        <v>345.81</v>
      </c>
      <c r="N197" t="s">
        <v>21</v>
      </c>
      <c r="O197" t="s">
        <v>42</v>
      </c>
    </row>
    <row r="198" spans="1:15" x14ac:dyDescent="0.35">
      <c r="A198" t="s">
        <v>387</v>
      </c>
      <c r="B198" s="1">
        <v>45883</v>
      </c>
      <c r="C198" t="s">
        <v>388</v>
      </c>
      <c r="D198" t="s">
        <v>60</v>
      </c>
      <c r="E198" t="s">
        <v>61</v>
      </c>
      <c r="F198" t="s">
        <v>51</v>
      </c>
      <c r="G198" t="s">
        <v>37</v>
      </c>
      <c r="H198">
        <v>2</v>
      </c>
      <c r="I198">
        <v>237.74</v>
      </c>
      <c r="J198">
        <v>0</v>
      </c>
      <c r="K198">
        <v>475.48</v>
      </c>
      <c r="L198">
        <v>300</v>
      </c>
      <c r="M198">
        <v>175.48</v>
      </c>
      <c r="N198" t="s">
        <v>21</v>
      </c>
      <c r="O198" t="s">
        <v>42</v>
      </c>
    </row>
    <row r="199" spans="1:15" x14ac:dyDescent="0.35">
      <c r="A199" t="s">
        <v>389</v>
      </c>
      <c r="B199" s="1">
        <v>45735</v>
      </c>
      <c r="C199" t="s">
        <v>390</v>
      </c>
      <c r="D199" t="s">
        <v>50</v>
      </c>
      <c r="E199" t="s">
        <v>32</v>
      </c>
      <c r="F199" t="s">
        <v>19</v>
      </c>
      <c r="G199" t="s">
        <v>20</v>
      </c>
      <c r="H199">
        <v>1</v>
      </c>
      <c r="I199">
        <v>271.06</v>
      </c>
      <c r="J199">
        <v>0</v>
      </c>
      <c r="K199">
        <v>271.06</v>
      </c>
      <c r="L199">
        <v>170</v>
      </c>
      <c r="M199">
        <v>101.06</v>
      </c>
      <c r="N199" t="s">
        <v>38</v>
      </c>
      <c r="O199" t="s">
        <v>28</v>
      </c>
    </row>
    <row r="200" spans="1:15" x14ac:dyDescent="0.35">
      <c r="A200" t="s">
        <v>391</v>
      </c>
      <c r="B200" s="1">
        <v>45782</v>
      </c>
      <c r="C200" t="s">
        <v>392</v>
      </c>
      <c r="D200" t="s">
        <v>45</v>
      </c>
      <c r="E200" t="s">
        <v>46</v>
      </c>
      <c r="F200" t="s">
        <v>41</v>
      </c>
      <c r="G200" t="s">
        <v>37</v>
      </c>
      <c r="H200">
        <v>3</v>
      </c>
      <c r="I200">
        <v>821.69</v>
      </c>
      <c r="J200">
        <v>0.2</v>
      </c>
      <c r="K200">
        <v>1972.06</v>
      </c>
      <c r="L200">
        <v>1800</v>
      </c>
      <c r="M200">
        <v>172.06</v>
      </c>
      <c r="N200" t="s">
        <v>38</v>
      </c>
      <c r="O200" t="s">
        <v>42</v>
      </c>
    </row>
    <row r="201" spans="1:15" x14ac:dyDescent="0.35">
      <c r="A201" t="s">
        <v>393</v>
      </c>
      <c r="B201" s="1">
        <v>45824</v>
      </c>
      <c r="C201" t="s">
        <v>324</v>
      </c>
      <c r="D201" t="s">
        <v>50</v>
      </c>
      <c r="E201" t="s">
        <v>32</v>
      </c>
      <c r="F201" t="s">
        <v>78</v>
      </c>
      <c r="G201" t="s">
        <v>20</v>
      </c>
      <c r="H201">
        <v>1</v>
      </c>
      <c r="I201">
        <v>333.92</v>
      </c>
      <c r="J201">
        <v>0.05</v>
      </c>
      <c r="K201">
        <v>317.22000000000003</v>
      </c>
      <c r="L201">
        <v>200</v>
      </c>
      <c r="M201">
        <v>117.22</v>
      </c>
      <c r="N201" t="s">
        <v>21</v>
      </c>
      <c r="O201" t="s">
        <v>28</v>
      </c>
    </row>
    <row r="202" spans="1:15" x14ac:dyDescent="0.35">
      <c r="A202" t="s">
        <v>394</v>
      </c>
      <c r="B202" s="1">
        <v>45853</v>
      </c>
      <c r="C202" t="s">
        <v>395</v>
      </c>
      <c r="D202" t="s">
        <v>50</v>
      </c>
      <c r="E202" t="s">
        <v>32</v>
      </c>
      <c r="F202" t="s">
        <v>41</v>
      </c>
      <c r="G202" t="s">
        <v>37</v>
      </c>
      <c r="H202">
        <v>4</v>
      </c>
      <c r="I202">
        <v>815.23</v>
      </c>
      <c r="J202">
        <v>0.05</v>
      </c>
      <c r="K202">
        <v>3097.87</v>
      </c>
      <c r="L202">
        <v>2400</v>
      </c>
      <c r="M202">
        <v>697.87</v>
      </c>
      <c r="N202" t="s">
        <v>47</v>
      </c>
      <c r="O202" t="s">
        <v>42</v>
      </c>
    </row>
    <row r="203" spans="1:15" x14ac:dyDescent="0.35">
      <c r="A203" t="s">
        <v>396</v>
      </c>
      <c r="B203" s="1">
        <v>45957</v>
      </c>
      <c r="C203" t="s">
        <v>177</v>
      </c>
      <c r="D203" t="s">
        <v>50</v>
      </c>
      <c r="E203" t="s">
        <v>32</v>
      </c>
      <c r="F203" t="s">
        <v>108</v>
      </c>
      <c r="G203" t="s">
        <v>37</v>
      </c>
      <c r="H203">
        <v>2</v>
      </c>
      <c r="I203">
        <v>453.28</v>
      </c>
      <c r="J203">
        <v>0.05</v>
      </c>
      <c r="K203">
        <v>861.23</v>
      </c>
      <c r="L203">
        <v>560</v>
      </c>
      <c r="M203">
        <v>301.23</v>
      </c>
      <c r="N203" t="s">
        <v>47</v>
      </c>
      <c r="O203" t="s">
        <v>42</v>
      </c>
    </row>
    <row r="204" spans="1:15" x14ac:dyDescent="0.35">
      <c r="A204" t="s">
        <v>397</v>
      </c>
      <c r="B204" s="1">
        <v>45943</v>
      </c>
      <c r="C204" t="s">
        <v>286</v>
      </c>
      <c r="D204" t="s">
        <v>17</v>
      </c>
      <c r="E204" t="s">
        <v>18</v>
      </c>
      <c r="F204" t="s">
        <v>27</v>
      </c>
      <c r="G204" t="s">
        <v>20</v>
      </c>
      <c r="H204">
        <v>3</v>
      </c>
      <c r="I204">
        <v>204.25</v>
      </c>
      <c r="J204">
        <v>0</v>
      </c>
      <c r="K204">
        <v>612.75</v>
      </c>
      <c r="L204">
        <v>330</v>
      </c>
      <c r="M204">
        <v>282.75</v>
      </c>
      <c r="N204" t="s">
        <v>21</v>
      </c>
      <c r="O204" t="s">
        <v>28</v>
      </c>
    </row>
    <row r="205" spans="1:15" x14ac:dyDescent="0.35">
      <c r="A205" t="s">
        <v>398</v>
      </c>
      <c r="B205" s="1">
        <v>45815</v>
      </c>
      <c r="C205" t="s">
        <v>141</v>
      </c>
      <c r="D205" t="s">
        <v>60</v>
      </c>
      <c r="E205" t="s">
        <v>61</v>
      </c>
      <c r="F205" t="s">
        <v>51</v>
      </c>
      <c r="G205" t="s">
        <v>37</v>
      </c>
      <c r="H205">
        <v>4</v>
      </c>
      <c r="I205">
        <v>248.75</v>
      </c>
      <c r="J205">
        <v>0</v>
      </c>
      <c r="K205">
        <v>995</v>
      </c>
      <c r="L205">
        <v>600</v>
      </c>
      <c r="M205">
        <v>395</v>
      </c>
      <c r="N205" t="s">
        <v>33</v>
      </c>
      <c r="O205" t="s">
        <v>28</v>
      </c>
    </row>
    <row r="206" spans="1:15" x14ac:dyDescent="0.35">
      <c r="A206" t="s">
        <v>399</v>
      </c>
      <c r="B206" s="1">
        <v>46005</v>
      </c>
      <c r="C206" t="s">
        <v>400</v>
      </c>
      <c r="D206" t="s">
        <v>58</v>
      </c>
      <c r="E206" t="s">
        <v>18</v>
      </c>
      <c r="F206" t="s">
        <v>27</v>
      </c>
      <c r="G206" t="s">
        <v>20</v>
      </c>
      <c r="H206">
        <v>1</v>
      </c>
      <c r="I206">
        <v>199.48</v>
      </c>
      <c r="J206">
        <v>0.1</v>
      </c>
      <c r="K206">
        <v>179.53</v>
      </c>
      <c r="L206">
        <v>110</v>
      </c>
      <c r="M206">
        <v>69.53</v>
      </c>
      <c r="N206" t="s">
        <v>38</v>
      </c>
      <c r="O206" t="s">
        <v>28</v>
      </c>
    </row>
    <row r="207" spans="1:15" x14ac:dyDescent="0.35">
      <c r="A207" t="s">
        <v>401</v>
      </c>
      <c r="B207" s="1">
        <v>45888</v>
      </c>
      <c r="C207" t="s">
        <v>365</v>
      </c>
      <c r="D207" t="s">
        <v>25</v>
      </c>
      <c r="E207" t="s">
        <v>26</v>
      </c>
      <c r="F207" t="s">
        <v>41</v>
      </c>
      <c r="G207" t="s">
        <v>37</v>
      </c>
      <c r="H207">
        <v>3</v>
      </c>
      <c r="I207">
        <v>825.1</v>
      </c>
      <c r="J207">
        <v>0.05</v>
      </c>
      <c r="K207">
        <v>2351.54</v>
      </c>
      <c r="L207">
        <v>1800</v>
      </c>
      <c r="M207">
        <v>551.54</v>
      </c>
      <c r="N207" t="s">
        <v>21</v>
      </c>
      <c r="O207" t="s">
        <v>28</v>
      </c>
    </row>
    <row r="208" spans="1:15" x14ac:dyDescent="0.35">
      <c r="A208" t="s">
        <v>402</v>
      </c>
      <c r="B208" s="1">
        <v>45723</v>
      </c>
      <c r="C208" t="s">
        <v>84</v>
      </c>
      <c r="D208" t="s">
        <v>60</v>
      </c>
      <c r="E208" t="s">
        <v>61</v>
      </c>
      <c r="F208" t="s">
        <v>19</v>
      </c>
      <c r="G208" t="s">
        <v>20</v>
      </c>
      <c r="H208">
        <v>2</v>
      </c>
      <c r="I208">
        <v>279.47000000000003</v>
      </c>
      <c r="J208">
        <v>0</v>
      </c>
      <c r="K208">
        <v>558.94000000000005</v>
      </c>
      <c r="L208">
        <v>340</v>
      </c>
      <c r="M208">
        <v>218.94</v>
      </c>
      <c r="N208" t="s">
        <v>21</v>
      </c>
      <c r="O208" t="s">
        <v>22</v>
      </c>
    </row>
    <row r="209" spans="1:15" x14ac:dyDescent="0.35">
      <c r="A209" t="s">
        <v>403</v>
      </c>
      <c r="B209" s="1">
        <v>45968</v>
      </c>
      <c r="C209" t="s">
        <v>328</v>
      </c>
      <c r="D209" t="s">
        <v>31</v>
      </c>
      <c r="E209" t="s">
        <v>32</v>
      </c>
      <c r="F209" t="s">
        <v>36</v>
      </c>
      <c r="G209" t="s">
        <v>37</v>
      </c>
      <c r="H209">
        <v>4</v>
      </c>
      <c r="I209">
        <v>122.84</v>
      </c>
      <c r="J209">
        <v>0.05</v>
      </c>
      <c r="K209">
        <v>466.79</v>
      </c>
      <c r="L209">
        <v>240</v>
      </c>
      <c r="M209">
        <v>226.79</v>
      </c>
      <c r="N209" t="s">
        <v>47</v>
      </c>
      <c r="O209" t="s">
        <v>28</v>
      </c>
    </row>
    <row r="210" spans="1:15" x14ac:dyDescent="0.35">
      <c r="A210" t="s">
        <v>404</v>
      </c>
      <c r="B210" s="1">
        <v>45823</v>
      </c>
      <c r="C210" t="s">
        <v>191</v>
      </c>
      <c r="D210" t="s">
        <v>66</v>
      </c>
      <c r="E210" t="s">
        <v>61</v>
      </c>
      <c r="F210" t="s">
        <v>19</v>
      </c>
      <c r="G210" t="s">
        <v>20</v>
      </c>
      <c r="H210">
        <v>2</v>
      </c>
      <c r="I210">
        <v>292.27999999999997</v>
      </c>
      <c r="J210">
        <v>0.1</v>
      </c>
      <c r="K210">
        <v>526.1</v>
      </c>
      <c r="L210">
        <v>340</v>
      </c>
      <c r="M210">
        <v>186.1</v>
      </c>
      <c r="N210" t="s">
        <v>38</v>
      </c>
      <c r="O210" t="s">
        <v>28</v>
      </c>
    </row>
    <row r="211" spans="1:15" x14ac:dyDescent="0.35">
      <c r="A211" t="s">
        <v>405</v>
      </c>
      <c r="B211" s="1">
        <v>45730</v>
      </c>
      <c r="C211" t="s">
        <v>365</v>
      </c>
      <c r="D211" t="s">
        <v>45</v>
      </c>
      <c r="E211" t="s">
        <v>46</v>
      </c>
      <c r="F211" t="s">
        <v>19</v>
      </c>
      <c r="G211" t="s">
        <v>20</v>
      </c>
      <c r="H211">
        <v>1</v>
      </c>
      <c r="I211">
        <v>269.24</v>
      </c>
      <c r="J211">
        <v>0</v>
      </c>
      <c r="K211">
        <v>269.24</v>
      </c>
      <c r="L211">
        <v>170</v>
      </c>
      <c r="M211">
        <v>99.24</v>
      </c>
      <c r="N211" t="s">
        <v>47</v>
      </c>
      <c r="O211" t="s">
        <v>22</v>
      </c>
    </row>
    <row r="212" spans="1:15" x14ac:dyDescent="0.35">
      <c r="A212" t="s">
        <v>406</v>
      </c>
      <c r="B212" s="1">
        <v>45938</v>
      </c>
      <c r="C212" t="s">
        <v>407</v>
      </c>
      <c r="D212" t="s">
        <v>50</v>
      </c>
      <c r="E212" t="s">
        <v>32</v>
      </c>
      <c r="F212" t="s">
        <v>78</v>
      </c>
      <c r="G212" t="s">
        <v>20</v>
      </c>
      <c r="H212">
        <v>2</v>
      </c>
      <c r="I212">
        <v>314.63</v>
      </c>
      <c r="J212">
        <v>0.05</v>
      </c>
      <c r="K212">
        <v>597.79999999999995</v>
      </c>
      <c r="L212">
        <v>400</v>
      </c>
      <c r="M212">
        <v>197.8</v>
      </c>
      <c r="N212" t="s">
        <v>38</v>
      </c>
      <c r="O212" t="s">
        <v>28</v>
      </c>
    </row>
    <row r="213" spans="1:15" x14ac:dyDescent="0.35">
      <c r="A213" t="s">
        <v>408</v>
      </c>
      <c r="B213" s="1">
        <v>45682</v>
      </c>
      <c r="C213" t="s">
        <v>223</v>
      </c>
      <c r="D213" t="s">
        <v>50</v>
      </c>
      <c r="E213" t="s">
        <v>32</v>
      </c>
      <c r="F213" t="s">
        <v>19</v>
      </c>
      <c r="G213" t="s">
        <v>20</v>
      </c>
      <c r="H213">
        <v>1</v>
      </c>
      <c r="I213">
        <v>279.33999999999997</v>
      </c>
      <c r="J213">
        <v>0.05</v>
      </c>
      <c r="K213">
        <v>265.37</v>
      </c>
      <c r="L213">
        <v>170</v>
      </c>
      <c r="M213">
        <v>95.37</v>
      </c>
      <c r="N213" t="s">
        <v>21</v>
      </c>
      <c r="O213" t="s">
        <v>42</v>
      </c>
    </row>
    <row r="214" spans="1:15" x14ac:dyDescent="0.35">
      <c r="A214" t="s">
        <v>409</v>
      </c>
      <c r="B214" s="1">
        <v>45785</v>
      </c>
      <c r="C214" t="s">
        <v>410</v>
      </c>
      <c r="D214" t="s">
        <v>25</v>
      </c>
      <c r="E214" t="s">
        <v>26</v>
      </c>
      <c r="F214" t="s">
        <v>67</v>
      </c>
      <c r="G214" t="s">
        <v>37</v>
      </c>
      <c r="H214">
        <v>2</v>
      </c>
      <c r="I214">
        <v>75.540000000000006</v>
      </c>
      <c r="J214">
        <v>0.05</v>
      </c>
      <c r="K214">
        <v>143.53</v>
      </c>
      <c r="L214">
        <v>80</v>
      </c>
      <c r="M214">
        <v>63.53</v>
      </c>
      <c r="N214" t="s">
        <v>21</v>
      </c>
      <c r="O214" t="s">
        <v>42</v>
      </c>
    </row>
    <row r="215" spans="1:15" x14ac:dyDescent="0.35">
      <c r="A215" t="s">
        <v>411</v>
      </c>
      <c r="B215" s="1">
        <v>45808</v>
      </c>
      <c r="C215" t="s">
        <v>44</v>
      </c>
      <c r="D215" t="s">
        <v>58</v>
      </c>
      <c r="E215" t="s">
        <v>18</v>
      </c>
      <c r="F215" t="s">
        <v>51</v>
      </c>
      <c r="G215" t="s">
        <v>37</v>
      </c>
      <c r="H215">
        <v>1</v>
      </c>
      <c r="I215">
        <v>242.35</v>
      </c>
      <c r="J215">
        <v>0.1</v>
      </c>
      <c r="K215">
        <v>218.12</v>
      </c>
      <c r="L215">
        <v>150</v>
      </c>
      <c r="M215">
        <v>68.12</v>
      </c>
      <c r="N215" t="s">
        <v>33</v>
      </c>
      <c r="O215" t="s">
        <v>28</v>
      </c>
    </row>
    <row r="216" spans="1:15" x14ac:dyDescent="0.35">
      <c r="A216" t="s">
        <v>412</v>
      </c>
      <c r="B216" s="1">
        <v>45713</v>
      </c>
      <c r="C216" t="s">
        <v>413</v>
      </c>
      <c r="D216" t="s">
        <v>45</v>
      </c>
      <c r="E216" t="s">
        <v>46</v>
      </c>
      <c r="F216" t="s">
        <v>41</v>
      </c>
      <c r="G216" t="s">
        <v>37</v>
      </c>
      <c r="H216">
        <v>2</v>
      </c>
      <c r="I216">
        <v>815.75</v>
      </c>
      <c r="J216">
        <v>0</v>
      </c>
      <c r="K216">
        <v>1631.5</v>
      </c>
      <c r="L216">
        <v>1200</v>
      </c>
      <c r="M216">
        <v>431.5</v>
      </c>
      <c r="N216" t="s">
        <v>21</v>
      </c>
      <c r="O216" t="s">
        <v>42</v>
      </c>
    </row>
    <row r="217" spans="1:15" x14ac:dyDescent="0.35">
      <c r="A217" t="s">
        <v>414</v>
      </c>
      <c r="B217" s="1">
        <v>45754</v>
      </c>
      <c r="C217" t="s">
        <v>65</v>
      </c>
      <c r="D217" t="s">
        <v>17</v>
      </c>
      <c r="E217" t="s">
        <v>18</v>
      </c>
      <c r="F217" t="s">
        <v>67</v>
      </c>
      <c r="G217" t="s">
        <v>37</v>
      </c>
      <c r="H217">
        <v>6</v>
      </c>
      <c r="I217">
        <v>77.25</v>
      </c>
      <c r="J217">
        <v>0.1</v>
      </c>
      <c r="K217">
        <v>417.15</v>
      </c>
      <c r="L217">
        <v>240</v>
      </c>
      <c r="M217">
        <v>177.15</v>
      </c>
      <c r="N217" t="s">
        <v>47</v>
      </c>
      <c r="O217" t="s">
        <v>28</v>
      </c>
    </row>
    <row r="218" spans="1:15" x14ac:dyDescent="0.35">
      <c r="A218" t="s">
        <v>415</v>
      </c>
      <c r="B218" s="1">
        <v>45888</v>
      </c>
      <c r="C218" t="s">
        <v>416</v>
      </c>
      <c r="D218" t="s">
        <v>66</v>
      </c>
      <c r="E218" t="s">
        <v>61</v>
      </c>
      <c r="F218" t="s">
        <v>51</v>
      </c>
      <c r="G218" t="s">
        <v>37</v>
      </c>
      <c r="H218">
        <v>4</v>
      </c>
      <c r="I218">
        <v>248.41</v>
      </c>
      <c r="J218">
        <v>0</v>
      </c>
      <c r="K218">
        <v>993.64</v>
      </c>
      <c r="L218">
        <v>600</v>
      </c>
      <c r="M218">
        <v>393.64</v>
      </c>
      <c r="N218" t="s">
        <v>47</v>
      </c>
      <c r="O218" t="s">
        <v>28</v>
      </c>
    </row>
    <row r="219" spans="1:15" x14ac:dyDescent="0.35">
      <c r="A219" t="s">
        <v>417</v>
      </c>
      <c r="B219" s="1">
        <v>45886</v>
      </c>
      <c r="C219" t="s">
        <v>418</v>
      </c>
      <c r="D219" t="s">
        <v>50</v>
      </c>
      <c r="E219" t="s">
        <v>32</v>
      </c>
      <c r="F219" t="s">
        <v>78</v>
      </c>
      <c r="G219" t="s">
        <v>20</v>
      </c>
      <c r="H219">
        <v>6</v>
      </c>
      <c r="I219">
        <v>314.39999999999998</v>
      </c>
      <c r="J219">
        <v>0</v>
      </c>
      <c r="K219">
        <v>1886.4</v>
      </c>
      <c r="L219">
        <v>1200</v>
      </c>
      <c r="M219">
        <v>686.4</v>
      </c>
      <c r="N219" t="s">
        <v>47</v>
      </c>
      <c r="O219" t="s">
        <v>42</v>
      </c>
    </row>
    <row r="220" spans="1:15" x14ac:dyDescent="0.35">
      <c r="A220" t="s">
        <v>419</v>
      </c>
      <c r="B220" s="1">
        <v>45722</v>
      </c>
      <c r="C220" t="s">
        <v>310</v>
      </c>
      <c r="D220" t="s">
        <v>50</v>
      </c>
      <c r="E220" t="s">
        <v>32</v>
      </c>
      <c r="F220" t="s">
        <v>19</v>
      </c>
      <c r="G220" t="s">
        <v>20</v>
      </c>
      <c r="H220">
        <v>4</v>
      </c>
      <c r="I220">
        <v>268.36</v>
      </c>
      <c r="J220">
        <v>0.05</v>
      </c>
      <c r="K220">
        <v>1019.77</v>
      </c>
      <c r="L220">
        <v>680</v>
      </c>
      <c r="M220">
        <v>339.77</v>
      </c>
      <c r="N220" t="s">
        <v>21</v>
      </c>
      <c r="O220" t="s">
        <v>28</v>
      </c>
    </row>
    <row r="221" spans="1:15" x14ac:dyDescent="0.35">
      <c r="A221" t="s">
        <v>420</v>
      </c>
      <c r="B221" s="1">
        <v>45845</v>
      </c>
      <c r="C221" t="s">
        <v>369</v>
      </c>
      <c r="D221" t="s">
        <v>58</v>
      </c>
      <c r="E221" t="s">
        <v>18</v>
      </c>
      <c r="F221" t="s">
        <v>51</v>
      </c>
      <c r="G221" t="s">
        <v>37</v>
      </c>
      <c r="H221">
        <v>2</v>
      </c>
      <c r="I221">
        <v>232.66</v>
      </c>
      <c r="J221">
        <v>0</v>
      </c>
      <c r="K221">
        <v>465.32</v>
      </c>
      <c r="L221">
        <v>300</v>
      </c>
      <c r="M221">
        <v>165.32</v>
      </c>
      <c r="N221" t="s">
        <v>21</v>
      </c>
      <c r="O221" t="s">
        <v>42</v>
      </c>
    </row>
    <row r="222" spans="1:15" x14ac:dyDescent="0.35">
      <c r="A222" t="s">
        <v>421</v>
      </c>
      <c r="B222" s="1">
        <v>45889</v>
      </c>
      <c r="C222" t="s">
        <v>422</v>
      </c>
      <c r="D222" t="s">
        <v>58</v>
      </c>
      <c r="E222" t="s">
        <v>18</v>
      </c>
      <c r="F222" t="s">
        <v>41</v>
      </c>
      <c r="G222" t="s">
        <v>37</v>
      </c>
      <c r="H222">
        <v>3</v>
      </c>
      <c r="I222">
        <v>850.86</v>
      </c>
      <c r="J222">
        <v>0.1</v>
      </c>
      <c r="K222">
        <v>2297.3200000000002</v>
      </c>
      <c r="L222">
        <v>1800</v>
      </c>
      <c r="M222">
        <v>497.32</v>
      </c>
      <c r="N222" t="s">
        <v>21</v>
      </c>
      <c r="O222" t="s">
        <v>28</v>
      </c>
    </row>
    <row r="223" spans="1:15" x14ac:dyDescent="0.35">
      <c r="A223" t="s">
        <v>423</v>
      </c>
      <c r="B223" s="1">
        <v>45777</v>
      </c>
      <c r="C223" t="s">
        <v>424</v>
      </c>
      <c r="D223" t="s">
        <v>60</v>
      </c>
      <c r="E223" t="s">
        <v>61</v>
      </c>
      <c r="F223" t="s">
        <v>41</v>
      </c>
      <c r="G223" t="s">
        <v>37</v>
      </c>
      <c r="H223">
        <v>3</v>
      </c>
      <c r="I223">
        <v>835.64</v>
      </c>
      <c r="J223">
        <v>0</v>
      </c>
      <c r="K223">
        <v>2506.92</v>
      </c>
      <c r="L223">
        <v>1800</v>
      </c>
      <c r="M223">
        <v>706.92</v>
      </c>
      <c r="N223" t="s">
        <v>21</v>
      </c>
      <c r="O223" t="s">
        <v>22</v>
      </c>
    </row>
    <row r="224" spans="1:15" x14ac:dyDescent="0.35">
      <c r="A224" t="s">
        <v>425</v>
      </c>
      <c r="B224" s="1">
        <v>45934</v>
      </c>
      <c r="C224" t="s">
        <v>426</v>
      </c>
      <c r="D224" t="s">
        <v>17</v>
      </c>
      <c r="E224" t="s">
        <v>18</v>
      </c>
      <c r="F224" t="s">
        <v>36</v>
      </c>
      <c r="G224" t="s">
        <v>37</v>
      </c>
      <c r="H224">
        <v>2</v>
      </c>
      <c r="I224">
        <v>121.02</v>
      </c>
      <c r="J224">
        <v>0</v>
      </c>
      <c r="K224">
        <v>242.04</v>
      </c>
      <c r="L224">
        <v>120</v>
      </c>
      <c r="M224">
        <v>122.04</v>
      </c>
      <c r="N224" t="s">
        <v>33</v>
      </c>
      <c r="O224" t="s">
        <v>28</v>
      </c>
    </row>
    <row r="225" spans="1:15" x14ac:dyDescent="0.35">
      <c r="A225" t="s">
        <v>427</v>
      </c>
      <c r="B225" s="1">
        <v>45830</v>
      </c>
      <c r="C225" t="s">
        <v>227</v>
      </c>
      <c r="D225" t="s">
        <v>58</v>
      </c>
      <c r="E225" t="s">
        <v>18</v>
      </c>
      <c r="F225" t="s">
        <v>19</v>
      </c>
      <c r="G225" t="s">
        <v>20</v>
      </c>
      <c r="H225">
        <v>3</v>
      </c>
      <c r="I225">
        <v>285.57</v>
      </c>
      <c r="J225">
        <v>0.05</v>
      </c>
      <c r="K225">
        <v>813.87</v>
      </c>
      <c r="L225">
        <v>510</v>
      </c>
      <c r="M225">
        <v>303.87</v>
      </c>
      <c r="N225" t="s">
        <v>21</v>
      </c>
      <c r="O225" t="s">
        <v>42</v>
      </c>
    </row>
    <row r="226" spans="1:15" x14ac:dyDescent="0.35">
      <c r="A226" t="s">
        <v>428</v>
      </c>
      <c r="B226" s="1">
        <v>45766</v>
      </c>
      <c r="C226" t="s">
        <v>147</v>
      </c>
      <c r="D226" t="s">
        <v>58</v>
      </c>
      <c r="E226" t="s">
        <v>18</v>
      </c>
      <c r="F226" t="s">
        <v>27</v>
      </c>
      <c r="G226" t="s">
        <v>20</v>
      </c>
      <c r="H226">
        <v>1</v>
      </c>
      <c r="I226">
        <v>193.06</v>
      </c>
      <c r="J226">
        <v>0</v>
      </c>
      <c r="K226">
        <v>193.06</v>
      </c>
      <c r="L226">
        <v>110</v>
      </c>
      <c r="M226">
        <v>83.06</v>
      </c>
      <c r="N226" t="s">
        <v>47</v>
      </c>
      <c r="O226" t="s">
        <v>22</v>
      </c>
    </row>
    <row r="227" spans="1:15" x14ac:dyDescent="0.35">
      <c r="A227" t="s">
        <v>429</v>
      </c>
      <c r="B227" s="1">
        <v>45868</v>
      </c>
      <c r="C227" t="s">
        <v>147</v>
      </c>
      <c r="D227" t="s">
        <v>45</v>
      </c>
      <c r="E227" t="s">
        <v>46</v>
      </c>
      <c r="F227" t="s">
        <v>36</v>
      </c>
      <c r="G227" t="s">
        <v>37</v>
      </c>
      <c r="H227">
        <v>1</v>
      </c>
      <c r="I227">
        <v>115.53</v>
      </c>
      <c r="J227">
        <v>0</v>
      </c>
      <c r="K227">
        <v>115.53</v>
      </c>
      <c r="L227">
        <v>60</v>
      </c>
      <c r="M227">
        <v>55.53</v>
      </c>
      <c r="N227" t="s">
        <v>21</v>
      </c>
      <c r="O227" t="s">
        <v>28</v>
      </c>
    </row>
    <row r="228" spans="1:15" x14ac:dyDescent="0.35">
      <c r="A228" t="s">
        <v>430</v>
      </c>
      <c r="B228" s="1">
        <v>45877</v>
      </c>
      <c r="C228" t="s">
        <v>431</v>
      </c>
      <c r="D228" t="s">
        <v>60</v>
      </c>
      <c r="E228" t="s">
        <v>61</v>
      </c>
      <c r="F228" t="s">
        <v>51</v>
      </c>
      <c r="G228" t="s">
        <v>37</v>
      </c>
      <c r="H228">
        <v>4</v>
      </c>
      <c r="I228">
        <v>258.45</v>
      </c>
      <c r="J228">
        <v>0</v>
      </c>
      <c r="K228">
        <v>1033.8</v>
      </c>
      <c r="L228">
        <v>600</v>
      </c>
      <c r="M228">
        <v>433.8</v>
      </c>
      <c r="N228" t="s">
        <v>21</v>
      </c>
      <c r="O228" t="s">
        <v>28</v>
      </c>
    </row>
    <row r="229" spans="1:15" x14ac:dyDescent="0.35">
      <c r="A229" t="s">
        <v>432</v>
      </c>
      <c r="B229" s="1">
        <v>45981</v>
      </c>
      <c r="C229" t="s">
        <v>433</v>
      </c>
      <c r="D229" t="s">
        <v>31</v>
      </c>
      <c r="E229" t="s">
        <v>32</v>
      </c>
      <c r="F229" t="s">
        <v>41</v>
      </c>
      <c r="G229" t="s">
        <v>37</v>
      </c>
      <c r="H229">
        <v>3</v>
      </c>
      <c r="I229">
        <v>812.14</v>
      </c>
      <c r="J229">
        <v>0.05</v>
      </c>
      <c r="K229">
        <v>2314.6</v>
      </c>
      <c r="L229">
        <v>1800</v>
      </c>
      <c r="M229">
        <v>514.6</v>
      </c>
      <c r="N229" t="s">
        <v>38</v>
      </c>
      <c r="O229" t="s">
        <v>28</v>
      </c>
    </row>
    <row r="230" spans="1:15" x14ac:dyDescent="0.35">
      <c r="A230" t="s">
        <v>434</v>
      </c>
      <c r="B230" s="1">
        <v>45915</v>
      </c>
      <c r="C230" t="s">
        <v>435</v>
      </c>
      <c r="D230" t="s">
        <v>31</v>
      </c>
      <c r="E230" t="s">
        <v>32</v>
      </c>
      <c r="F230" t="s">
        <v>19</v>
      </c>
      <c r="G230" t="s">
        <v>20</v>
      </c>
      <c r="H230">
        <v>3</v>
      </c>
      <c r="I230">
        <v>290.27</v>
      </c>
      <c r="J230">
        <v>0.1</v>
      </c>
      <c r="K230">
        <v>783.73</v>
      </c>
      <c r="L230">
        <v>510</v>
      </c>
      <c r="M230">
        <v>273.73</v>
      </c>
      <c r="N230" t="s">
        <v>21</v>
      </c>
      <c r="O230" t="s">
        <v>28</v>
      </c>
    </row>
    <row r="231" spans="1:15" x14ac:dyDescent="0.35">
      <c r="A231" t="s">
        <v>436</v>
      </c>
      <c r="B231" s="1">
        <v>45840</v>
      </c>
      <c r="C231" t="s">
        <v>367</v>
      </c>
      <c r="D231" t="s">
        <v>60</v>
      </c>
      <c r="E231" t="s">
        <v>61</v>
      </c>
      <c r="F231" t="s">
        <v>41</v>
      </c>
      <c r="G231" t="s">
        <v>37</v>
      </c>
      <c r="H231">
        <v>2</v>
      </c>
      <c r="I231">
        <v>850.45</v>
      </c>
      <c r="J231">
        <v>0.05</v>
      </c>
      <c r="K231">
        <v>1615.86</v>
      </c>
      <c r="L231">
        <v>1200</v>
      </c>
      <c r="M231">
        <v>415.86</v>
      </c>
      <c r="N231" t="s">
        <v>21</v>
      </c>
      <c r="O231" t="s">
        <v>22</v>
      </c>
    </row>
    <row r="232" spans="1:15" x14ac:dyDescent="0.35">
      <c r="A232" t="s">
        <v>437</v>
      </c>
      <c r="B232" s="1">
        <v>45829</v>
      </c>
      <c r="C232" t="s">
        <v>438</v>
      </c>
      <c r="D232" t="s">
        <v>25</v>
      </c>
      <c r="E232" t="s">
        <v>26</v>
      </c>
      <c r="F232" t="s">
        <v>36</v>
      </c>
      <c r="G232" t="s">
        <v>37</v>
      </c>
      <c r="H232">
        <v>5</v>
      </c>
      <c r="I232">
        <v>118.46</v>
      </c>
      <c r="J232">
        <v>0.05</v>
      </c>
      <c r="K232">
        <v>562.67999999999995</v>
      </c>
      <c r="L232">
        <v>300</v>
      </c>
      <c r="M232">
        <v>262.68</v>
      </c>
      <c r="N232" t="s">
        <v>21</v>
      </c>
      <c r="O232" t="s">
        <v>28</v>
      </c>
    </row>
    <row r="233" spans="1:15" x14ac:dyDescent="0.35">
      <c r="A233" t="s">
        <v>439</v>
      </c>
      <c r="B233" s="1">
        <v>45806</v>
      </c>
      <c r="C233" t="s">
        <v>440</v>
      </c>
      <c r="D233" t="s">
        <v>50</v>
      </c>
      <c r="E233" t="s">
        <v>32</v>
      </c>
      <c r="F233" t="s">
        <v>78</v>
      </c>
      <c r="G233" t="s">
        <v>20</v>
      </c>
      <c r="H233">
        <v>2</v>
      </c>
      <c r="I233">
        <v>339.53</v>
      </c>
      <c r="J233">
        <v>0.1</v>
      </c>
      <c r="K233">
        <v>611.15</v>
      </c>
      <c r="L233">
        <v>400</v>
      </c>
      <c r="M233">
        <v>211.15</v>
      </c>
      <c r="N233" t="s">
        <v>38</v>
      </c>
      <c r="O233" t="s">
        <v>28</v>
      </c>
    </row>
    <row r="234" spans="1:15" x14ac:dyDescent="0.35">
      <c r="A234" t="s">
        <v>441</v>
      </c>
      <c r="B234" s="1">
        <v>45743</v>
      </c>
      <c r="C234" t="s">
        <v>442</v>
      </c>
      <c r="D234" t="s">
        <v>31</v>
      </c>
      <c r="E234" t="s">
        <v>32</v>
      </c>
      <c r="F234" t="s">
        <v>36</v>
      </c>
      <c r="G234" t="s">
        <v>37</v>
      </c>
      <c r="H234">
        <v>1</v>
      </c>
      <c r="I234">
        <v>125.36</v>
      </c>
      <c r="J234">
        <v>0.05</v>
      </c>
      <c r="K234">
        <v>119.09</v>
      </c>
      <c r="L234">
        <v>60</v>
      </c>
      <c r="M234">
        <v>59.09</v>
      </c>
      <c r="N234" t="s">
        <v>38</v>
      </c>
      <c r="O234" t="s">
        <v>28</v>
      </c>
    </row>
    <row r="235" spans="1:15" x14ac:dyDescent="0.35">
      <c r="A235" t="s">
        <v>443</v>
      </c>
      <c r="B235" s="1">
        <v>45707</v>
      </c>
      <c r="C235" t="s">
        <v>444</v>
      </c>
      <c r="D235" t="s">
        <v>45</v>
      </c>
      <c r="E235" t="s">
        <v>46</v>
      </c>
      <c r="F235" t="s">
        <v>51</v>
      </c>
      <c r="G235" t="s">
        <v>37</v>
      </c>
      <c r="H235">
        <v>2</v>
      </c>
      <c r="I235">
        <v>250.86</v>
      </c>
      <c r="J235">
        <v>0.1</v>
      </c>
      <c r="K235">
        <v>451.55</v>
      </c>
      <c r="L235">
        <v>300</v>
      </c>
      <c r="M235">
        <v>151.55000000000001</v>
      </c>
      <c r="N235" t="s">
        <v>47</v>
      </c>
      <c r="O235" t="s">
        <v>28</v>
      </c>
    </row>
    <row r="236" spans="1:15" x14ac:dyDescent="0.35">
      <c r="A236" t="s">
        <v>445</v>
      </c>
      <c r="B236" s="1">
        <v>45848</v>
      </c>
      <c r="C236" t="s">
        <v>446</v>
      </c>
      <c r="D236" t="s">
        <v>31</v>
      </c>
      <c r="E236" t="s">
        <v>32</v>
      </c>
      <c r="F236" t="s">
        <v>36</v>
      </c>
      <c r="G236" t="s">
        <v>37</v>
      </c>
      <c r="H236">
        <v>1</v>
      </c>
      <c r="I236">
        <v>123</v>
      </c>
      <c r="J236">
        <v>0</v>
      </c>
      <c r="K236">
        <v>123</v>
      </c>
      <c r="L236">
        <v>60</v>
      </c>
      <c r="M236">
        <v>63</v>
      </c>
      <c r="N236" t="s">
        <v>21</v>
      </c>
      <c r="O236" t="s">
        <v>42</v>
      </c>
    </row>
    <row r="237" spans="1:15" x14ac:dyDescent="0.35">
      <c r="A237" t="s">
        <v>447</v>
      </c>
      <c r="B237" s="1">
        <v>45729</v>
      </c>
      <c r="C237" t="s">
        <v>424</v>
      </c>
      <c r="D237" t="s">
        <v>60</v>
      </c>
      <c r="E237" t="s">
        <v>61</v>
      </c>
      <c r="F237" t="s">
        <v>67</v>
      </c>
      <c r="G237" t="s">
        <v>37</v>
      </c>
      <c r="H237">
        <v>3</v>
      </c>
      <c r="I237">
        <v>72.22</v>
      </c>
      <c r="J237">
        <v>0.2</v>
      </c>
      <c r="K237">
        <v>173.33</v>
      </c>
      <c r="L237">
        <v>120</v>
      </c>
      <c r="M237">
        <v>53.33</v>
      </c>
      <c r="N237" t="s">
        <v>21</v>
      </c>
      <c r="O237" t="s">
        <v>42</v>
      </c>
    </row>
    <row r="238" spans="1:15" x14ac:dyDescent="0.35">
      <c r="A238" t="s">
        <v>448</v>
      </c>
      <c r="B238" s="1">
        <v>45959</v>
      </c>
      <c r="C238" t="s">
        <v>449</v>
      </c>
      <c r="D238" t="s">
        <v>45</v>
      </c>
      <c r="E238" t="s">
        <v>46</v>
      </c>
      <c r="F238" t="s">
        <v>36</v>
      </c>
      <c r="G238" t="s">
        <v>37</v>
      </c>
      <c r="H238">
        <v>1</v>
      </c>
      <c r="I238">
        <v>126.23</v>
      </c>
      <c r="J238">
        <v>0</v>
      </c>
      <c r="K238">
        <v>126.23</v>
      </c>
      <c r="L238">
        <v>60</v>
      </c>
      <c r="M238">
        <v>66.23</v>
      </c>
      <c r="N238" t="s">
        <v>21</v>
      </c>
      <c r="O238" t="s">
        <v>42</v>
      </c>
    </row>
    <row r="239" spans="1:15" x14ac:dyDescent="0.35">
      <c r="A239" t="s">
        <v>450</v>
      </c>
      <c r="B239" s="1">
        <v>45711</v>
      </c>
      <c r="C239" t="s">
        <v>225</v>
      </c>
      <c r="D239" t="s">
        <v>17</v>
      </c>
      <c r="E239" t="s">
        <v>18</v>
      </c>
      <c r="F239" t="s">
        <v>41</v>
      </c>
      <c r="G239" t="s">
        <v>37</v>
      </c>
      <c r="H239">
        <v>1</v>
      </c>
      <c r="I239">
        <v>891.33</v>
      </c>
      <c r="J239">
        <v>0.1</v>
      </c>
      <c r="K239">
        <v>802.2</v>
      </c>
      <c r="L239">
        <v>600</v>
      </c>
      <c r="M239">
        <v>202.2</v>
      </c>
      <c r="N239" t="s">
        <v>38</v>
      </c>
      <c r="O239" t="s">
        <v>22</v>
      </c>
    </row>
    <row r="240" spans="1:15" x14ac:dyDescent="0.35">
      <c r="A240" t="s">
        <v>451</v>
      </c>
      <c r="B240" s="1">
        <v>45727</v>
      </c>
      <c r="C240" t="s">
        <v>328</v>
      </c>
      <c r="D240" t="s">
        <v>25</v>
      </c>
      <c r="E240" t="s">
        <v>26</v>
      </c>
      <c r="F240" t="s">
        <v>36</v>
      </c>
      <c r="G240" t="s">
        <v>37</v>
      </c>
      <c r="H240">
        <v>6</v>
      </c>
      <c r="I240">
        <v>121</v>
      </c>
      <c r="J240">
        <v>0</v>
      </c>
      <c r="K240">
        <v>726</v>
      </c>
      <c r="L240">
        <v>360</v>
      </c>
      <c r="M240">
        <v>366</v>
      </c>
      <c r="N240" t="s">
        <v>33</v>
      </c>
      <c r="O240" t="s">
        <v>42</v>
      </c>
    </row>
    <row r="241" spans="1:15" x14ac:dyDescent="0.35">
      <c r="A241" t="s">
        <v>452</v>
      </c>
      <c r="B241" s="1">
        <v>45950</v>
      </c>
      <c r="C241" t="s">
        <v>365</v>
      </c>
      <c r="D241" t="s">
        <v>31</v>
      </c>
      <c r="E241" t="s">
        <v>32</v>
      </c>
      <c r="F241" t="s">
        <v>19</v>
      </c>
      <c r="G241" t="s">
        <v>20</v>
      </c>
      <c r="H241">
        <v>1</v>
      </c>
      <c r="I241">
        <v>262.29000000000002</v>
      </c>
      <c r="J241">
        <v>0</v>
      </c>
      <c r="K241">
        <v>262.29000000000002</v>
      </c>
      <c r="L241">
        <v>170</v>
      </c>
      <c r="M241">
        <v>92.29</v>
      </c>
      <c r="N241" t="s">
        <v>21</v>
      </c>
      <c r="O241" t="s">
        <v>28</v>
      </c>
    </row>
    <row r="242" spans="1:15" x14ac:dyDescent="0.35">
      <c r="A242" t="s">
        <v>453</v>
      </c>
      <c r="B242" s="1">
        <v>45930</v>
      </c>
      <c r="C242" t="s">
        <v>454</v>
      </c>
      <c r="D242" t="s">
        <v>45</v>
      </c>
      <c r="E242" t="s">
        <v>46</v>
      </c>
      <c r="F242" t="s">
        <v>51</v>
      </c>
      <c r="G242" t="s">
        <v>37</v>
      </c>
      <c r="H242">
        <v>2</v>
      </c>
      <c r="I242">
        <v>230.02</v>
      </c>
      <c r="J242">
        <v>0.05</v>
      </c>
      <c r="K242">
        <v>437.04</v>
      </c>
      <c r="L242">
        <v>300</v>
      </c>
      <c r="M242">
        <v>137.04</v>
      </c>
      <c r="N242" t="s">
        <v>47</v>
      </c>
      <c r="O242" t="s">
        <v>42</v>
      </c>
    </row>
    <row r="243" spans="1:15" x14ac:dyDescent="0.35">
      <c r="A243" t="s">
        <v>455</v>
      </c>
      <c r="B243" s="1">
        <v>45911</v>
      </c>
      <c r="C243" t="s">
        <v>456</v>
      </c>
      <c r="D243" t="s">
        <v>25</v>
      </c>
      <c r="E243" t="s">
        <v>26</v>
      </c>
      <c r="F243" t="s">
        <v>108</v>
      </c>
      <c r="G243" t="s">
        <v>37</v>
      </c>
      <c r="H243">
        <v>3</v>
      </c>
      <c r="I243">
        <v>400.25</v>
      </c>
      <c r="J243">
        <v>0.05</v>
      </c>
      <c r="K243">
        <v>1140.71</v>
      </c>
      <c r="L243">
        <v>840</v>
      </c>
      <c r="M243">
        <v>300.70999999999998</v>
      </c>
      <c r="N243" t="s">
        <v>38</v>
      </c>
      <c r="O243" t="s">
        <v>28</v>
      </c>
    </row>
    <row r="244" spans="1:15" x14ac:dyDescent="0.35">
      <c r="A244" t="s">
        <v>457</v>
      </c>
      <c r="B244" s="1">
        <v>45809</v>
      </c>
      <c r="C244" t="s">
        <v>458</v>
      </c>
      <c r="D244" t="s">
        <v>50</v>
      </c>
      <c r="E244" t="s">
        <v>32</v>
      </c>
      <c r="F244" t="s">
        <v>67</v>
      </c>
      <c r="G244" t="s">
        <v>37</v>
      </c>
      <c r="H244">
        <v>4</v>
      </c>
      <c r="I244">
        <v>78.94</v>
      </c>
      <c r="J244">
        <v>0.1</v>
      </c>
      <c r="K244">
        <v>284.18</v>
      </c>
      <c r="L244">
        <v>160</v>
      </c>
      <c r="M244">
        <v>124.18</v>
      </c>
      <c r="N244" t="s">
        <v>21</v>
      </c>
      <c r="O244" t="s">
        <v>28</v>
      </c>
    </row>
    <row r="245" spans="1:15" x14ac:dyDescent="0.35">
      <c r="A245" t="s">
        <v>459</v>
      </c>
      <c r="B245" s="1">
        <v>45840</v>
      </c>
      <c r="C245" t="s">
        <v>460</v>
      </c>
      <c r="D245" t="s">
        <v>60</v>
      </c>
      <c r="E245" t="s">
        <v>61</v>
      </c>
      <c r="F245" t="s">
        <v>108</v>
      </c>
      <c r="G245" t="s">
        <v>37</v>
      </c>
      <c r="H245">
        <v>2</v>
      </c>
      <c r="I245">
        <v>442.75</v>
      </c>
      <c r="J245">
        <v>0</v>
      </c>
      <c r="K245">
        <v>885.5</v>
      </c>
      <c r="L245">
        <v>560</v>
      </c>
      <c r="M245">
        <v>325.5</v>
      </c>
      <c r="N245" t="s">
        <v>38</v>
      </c>
      <c r="O245" t="s">
        <v>28</v>
      </c>
    </row>
    <row r="246" spans="1:15" x14ac:dyDescent="0.35">
      <c r="A246" t="s">
        <v>461</v>
      </c>
      <c r="B246" s="1">
        <v>45818</v>
      </c>
      <c r="C246" t="s">
        <v>418</v>
      </c>
      <c r="D246" t="s">
        <v>60</v>
      </c>
      <c r="E246" t="s">
        <v>61</v>
      </c>
      <c r="F246" t="s">
        <v>78</v>
      </c>
      <c r="G246" t="s">
        <v>20</v>
      </c>
      <c r="H246">
        <v>3</v>
      </c>
      <c r="I246">
        <v>313.75</v>
      </c>
      <c r="J246">
        <v>0.1</v>
      </c>
      <c r="K246">
        <v>847.12</v>
      </c>
      <c r="L246">
        <v>600</v>
      </c>
      <c r="M246">
        <v>247.12</v>
      </c>
      <c r="N246" t="s">
        <v>33</v>
      </c>
      <c r="O246" t="s">
        <v>28</v>
      </c>
    </row>
    <row r="247" spans="1:15" x14ac:dyDescent="0.35">
      <c r="A247" t="s">
        <v>462</v>
      </c>
      <c r="B247" s="1">
        <v>45794</v>
      </c>
      <c r="C247" t="s">
        <v>344</v>
      </c>
      <c r="D247" t="s">
        <v>66</v>
      </c>
      <c r="E247" t="s">
        <v>61</v>
      </c>
      <c r="F247" t="s">
        <v>27</v>
      </c>
      <c r="G247" t="s">
        <v>20</v>
      </c>
      <c r="H247">
        <v>1</v>
      </c>
      <c r="I247">
        <v>204.7</v>
      </c>
      <c r="J247">
        <v>0.05</v>
      </c>
      <c r="K247">
        <v>194.46</v>
      </c>
      <c r="L247">
        <v>110</v>
      </c>
      <c r="M247">
        <v>84.46</v>
      </c>
      <c r="N247" t="s">
        <v>38</v>
      </c>
      <c r="O247" t="s">
        <v>42</v>
      </c>
    </row>
    <row r="248" spans="1:15" x14ac:dyDescent="0.35">
      <c r="A248" t="s">
        <v>463</v>
      </c>
      <c r="B248" s="1">
        <v>45775</v>
      </c>
      <c r="C248" t="s">
        <v>88</v>
      </c>
      <c r="D248" t="s">
        <v>50</v>
      </c>
      <c r="E248" t="s">
        <v>32</v>
      </c>
      <c r="F248" t="s">
        <v>78</v>
      </c>
      <c r="G248" t="s">
        <v>20</v>
      </c>
      <c r="H248">
        <v>2</v>
      </c>
      <c r="I248">
        <v>348.49</v>
      </c>
      <c r="J248">
        <v>0</v>
      </c>
      <c r="K248">
        <v>696.98</v>
      </c>
      <c r="L248">
        <v>400</v>
      </c>
      <c r="M248">
        <v>296.98</v>
      </c>
      <c r="N248" t="s">
        <v>47</v>
      </c>
      <c r="O248" t="s">
        <v>22</v>
      </c>
    </row>
    <row r="249" spans="1:15" x14ac:dyDescent="0.35">
      <c r="A249" t="s">
        <v>464</v>
      </c>
      <c r="B249" s="1">
        <v>46006</v>
      </c>
      <c r="C249" t="s">
        <v>115</v>
      </c>
      <c r="D249" t="s">
        <v>25</v>
      </c>
      <c r="E249" t="s">
        <v>26</v>
      </c>
      <c r="F249" t="s">
        <v>19</v>
      </c>
      <c r="G249" t="s">
        <v>20</v>
      </c>
      <c r="H249">
        <v>2</v>
      </c>
      <c r="I249">
        <v>294.76</v>
      </c>
      <c r="J249">
        <v>0</v>
      </c>
      <c r="K249">
        <v>589.52</v>
      </c>
      <c r="L249">
        <v>340</v>
      </c>
      <c r="M249">
        <v>249.52</v>
      </c>
      <c r="N249" t="s">
        <v>38</v>
      </c>
      <c r="O249" t="s">
        <v>28</v>
      </c>
    </row>
    <row r="250" spans="1:15" x14ac:dyDescent="0.35">
      <c r="A250" t="s">
        <v>465</v>
      </c>
      <c r="B250" s="1">
        <v>45952</v>
      </c>
      <c r="C250" t="s">
        <v>466</v>
      </c>
      <c r="D250" t="s">
        <v>66</v>
      </c>
      <c r="E250" t="s">
        <v>61</v>
      </c>
      <c r="F250" t="s">
        <v>36</v>
      </c>
      <c r="G250" t="s">
        <v>37</v>
      </c>
      <c r="H250">
        <v>2</v>
      </c>
      <c r="I250">
        <v>125.94</v>
      </c>
      <c r="J250">
        <v>0.1</v>
      </c>
      <c r="K250">
        <v>226.69</v>
      </c>
      <c r="L250">
        <v>120</v>
      </c>
      <c r="M250">
        <v>106.69</v>
      </c>
      <c r="N250" t="s">
        <v>21</v>
      </c>
      <c r="O250" t="s">
        <v>28</v>
      </c>
    </row>
    <row r="251" spans="1:15" x14ac:dyDescent="0.35">
      <c r="A251" t="s">
        <v>467</v>
      </c>
      <c r="B251" s="1">
        <v>45741</v>
      </c>
      <c r="C251" t="s">
        <v>218</v>
      </c>
      <c r="D251" t="s">
        <v>25</v>
      </c>
      <c r="E251" t="s">
        <v>26</v>
      </c>
      <c r="F251" t="s">
        <v>41</v>
      </c>
      <c r="G251" t="s">
        <v>37</v>
      </c>
      <c r="H251">
        <v>6</v>
      </c>
      <c r="I251">
        <v>813.8</v>
      </c>
      <c r="J251">
        <v>0</v>
      </c>
      <c r="K251">
        <v>4882.8</v>
      </c>
      <c r="L251">
        <v>3600</v>
      </c>
      <c r="M251">
        <v>1282.8</v>
      </c>
      <c r="N251" t="s">
        <v>21</v>
      </c>
      <c r="O251" t="s">
        <v>42</v>
      </c>
    </row>
    <row r="252" spans="1:15" x14ac:dyDescent="0.35">
      <c r="A252" t="s">
        <v>468</v>
      </c>
      <c r="B252" s="1">
        <v>45993</v>
      </c>
      <c r="C252" t="s">
        <v>469</v>
      </c>
      <c r="D252" t="s">
        <v>25</v>
      </c>
      <c r="E252" t="s">
        <v>26</v>
      </c>
      <c r="F252" t="s">
        <v>78</v>
      </c>
      <c r="G252" t="s">
        <v>20</v>
      </c>
      <c r="H252">
        <v>2</v>
      </c>
      <c r="I252">
        <v>320.08</v>
      </c>
      <c r="J252">
        <v>0.1</v>
      </c>
      <c r="K252">
        <v>576.14</v>
      </c>
      <c r="L252">
        <v>400</v>
      </c>
      <c r="M252">
        <v>176.14</v>
      </c>
      <c r="N252" t="s">
        <v>33</v>
      </c>
      <c r="O252" t="s">
        <v>28</v>
      </c>
    </row>
    <row r="253" spans="1:15" x14ac:dyDescent="0.35">
      <c r="A253" t="s">
        <v>470</v>
      </c>
      <c r="B253" s="1">
        <v>45995</v>
      </c>
      <c r="C253" t="s">
        <v>471</v>
      </c>
      <c r="D253" t="s">
        <v>66</v>
      </c>
      <c r="E253" t="s">
        <v>61</v>
      </c>
      <c r="F253" t="s">
        <v>36</v>
      </c>
      <c r="G253" t="s">
        <v>37</v>
      </c>
      <c r="H253">
        <v>1</v>
      </c>
      <c r="I253">
        <v>120.41</v>
      </c>
      <c r="J253">
        <v>0.05</v>
      </c>
      <c r="K253">
        <v>114.39</v>
      </c>
      <c r="L253">
        <v>60</v>
      </c>
      <c r="M253">
        <v>54.39</v>
      </c>
      <c r="N253" t="s">
        <v>33</v>
      </c>
      <c r="O253" t="s">
        <v>28</v>
      </c>
    </row>
    <row r="254" spans="1:15" x14ac:dyDescent="0.35">
      <c r="A254" t="s">
        <v>472</v>
      </c>
      <c r="B254" s="1">
        <v>45905</v>
      </c>
      <c r="C254" t="s">
        <v>255</v>
      </c>
      <c r="D254" t="s">
        <v>58</v>
      </c>
      <c r="E254" t="s">
        <v>18</v>
      </c>
      <c r="F254" t="s">
        <v>67</v>
      </c>
      <c r="G254" t="s">
        <v>37</v>
      </c>
      <c r="H254">
        <v>1</v>
      </c>
      <c r="I254">
        <v>75.09</v>
      </c>
      <c r="J254">
        <v>0.15</v>
      </c>
      <c r="K254">
        <v>63.83</v>
      </c>
      <c r="L254">
        <v>40</v>
      </c>
      <c r="M254">
        <v>23.83</v>
      </c>
      <c r="N254" t="s">
        <v>21</v>
      </c>
      <c r="O254" t="s">
        <v>42</v>
      </c>
    </row>
    <row r="255" spans="1:15" x14ac:dyDescent="0.35">
      <c r="A255" t="s">
        <v>473</v>
      </c>
      <c r="B255" s="1">
        <v>45971</v>
      </c>
      <c r="C255" t="s">
        <v>284</v>
      </c>
      <c r="D255" t="s">
        <v>50</v>
      </c>
      <c r="E255" t="s">
        <v>32</v>
      </c>
      <c r="F255" t="s">
        <v>108</v>
      </c>
      <c r="G255" t="s">
        <v>37</v>
      </c>
      <c r="H255">
        <v>1</v>
      </c>
      <c r="I255">
        <v>409.44</v>
      </c>
      <c r="J255">
        <v>0.1</v>
      </c>
      <c r="K255">
        <v>368.5</v>
      </c>
      <c r="L255">
        <v>280</v>
      </c>
      <c r="M255">
        <v>88.5</v>
      </c>
      <c r="N255" t="s">
        <v>21</v>
      </c>
      <c r="O255" t="s">
        <v>22</v>
      </c>
    </row>
    <row r="256" spans="1:15" x14ac:dyDescent="0.35">
      <c r="A256" t="s">
        <v>474</v>
      </c>
      <c r="B256" s="1">
        <v>45818</v>
      </c>
      <c r="C256" t="s">
        <v>475</v>
      </c>
      <c r="D256" t="s">
        <v>66</v>
      </c>
      <c r="E256" t="s">
        <v>61</v>
      </c>
      <c r="F256" t="s">
        <v>19</v>
      </c>
      <c r="G256" t="s">
        <v>20</v>
      </c>
      <c r="H256">
        <v>1</v>
      </c>
      <c r="I256">
        <v>291.66000000000003</v>
      </c>
      <c r="J256">
        <v>0</v>
      </c>
      <c r="K256">
        <v>291.66000000000003</v>
      </c>
      <c r="L256">
        <v>170</v>
      </c>
      <c r="M256">
        <v>121.66</v>
      </c>
      <c r="N256" t="s">
        <v>33</v>
      </c>
      <c r="O256" t="s">
        <v>28</v>
      </c>
    </row>
    <row r="257" spans="1:15" x14ac:dyDescent="0.35">
      <c r="A257" t="s">
        <v>476</v>
      </c>
      <c r="B257" s="1">
        <v>45685</v>
      </c>
      <c r="C257" t="s">
        <v>477</v>
      </c>
      <c r="D257" t="s">
        <v>66</v>
      </c>
      <c r="E257" t="s">
        <v>61</v>
      </c>
      <c r="F257" t="s">
        <v>36</v>
      </c>
      <c r="G257" t="s">
        <v>37</v>
      </c>
      <c r="H257">
        <v>1</v>
      </c>
      <c r="I257">
        <v>122.48</v>
      </c>
      <c r="J257">
        <v>0.1</v>
      </c>
      <c r="K257">
        <v>110.23</v>
      </c>
      <c r="L257">
        <v>60</v>
      </c>
      <c r="M257">
        <v>50.23</v>
      </c>
      <c r="N257" t="s">
        <v>47</v>
      </c>
      <c r="O257" t="s">
        <v>28</v>
      </c>
    </row>
    <row r="258" spans="1:15" x14ac:dyDescent="0.35">
      <c r="A258" t="s">
        <v>478</v>
      </c>
      <c r="B258" s="1">
        <v>45998</v>
      </c>
      <c r="C258" t="s">
        <v>123</v>
      </c>
      <c r="D258" t="s">
        <v>50</v>
      </c>
      <c r="E258" t="s">
        <v>32</v>
      </c>
      <c r="F258" t="s">
        <v>108</v>
      </c>
      <c r="G258" t="s">
        <v>37</v>
      </c>
      <c r="H258">
        <v>3</v>
      </c>
      <c r="I258">
        <v>404.33</v>
      </c>
      <c r="J258">
        <v>0</v>
      </c>
      <c r="K258">
        <v>1212.99</v>
      </c>
      <c r="L258">
        <v>840</v>
      </c>
      <c r="M258">
        <v>372.99</v>
      </c>
      <c r="N258" t="s">
        <v>38</v>
      </c>
      <c r="O258" t="s">
        <v>28</v>
      </c>
    </row>
    <row r="259" spans="1:15" x14ac:dyDescent="0.35">
      <c r="A259" t="s">
        <v>479</v>
      </c>
      <c r="B259" s="1">
        <v>46001</v>
      </c>
      <c r="C259" t="s">
        <v>480</v>
      </c>
      <c r="D259" t="s">
        <v>45</v>
      </c>
      <c r="E259" t="s">
        <v>46</v>
      </c>
      <c r="F259" t="s">
        <v>27</v>
      </c>
      <c r="G259" t="s">
        <v>20</v>
      </c>
      <c r="H259">
        <v>1</v>
      </c>
      <c r="I259">
        <v>204.66</v>
      </c>
      <c r="J259">
        <v>0</v>
      </c>
      <c r="K259">
        <v>204.66</v>
      </c>
      <c r="L259">
        <v>110</v>
      </c>
      <c r="M259">
        <v>94.66</v>
      </c>
      <c r="N259" t="s">
        <v>47</v>
      </c>
      <c r="O259" t="s">
        <v>28</v>
      </c>
    </row>
    <row r="260" spans="1:15" x14ac:dyDescent="0.35">
      <c r="A260" t="s">
        <v>481</v>
      </c>
      <c r="B260" s="1">
        <v>45934</v>
      </c>
      <c r="C260" t="s">
        <v>482</v>
      </c>
      <c r="D260" t="s">
        <v>17</v>
      </c>
      <c r="E260" t="s">
        <v>18</v>
      </c>
      <c r="F260" t="s">
        <v>108</v>
      </c>
      <c r="G260" t="s">
        <v>37</v>
      </c>
      <c r="H260">
        <v>2</v>
      </c>
      <c r="I260">
        <v>427.36</v>
      </c>
      <c r="J260">
        <v>0.1</v>
      </c>
      <c r="K260">
        <v>769.25</v>
      </c>
      <c r="L260">
        <v>560</v>
      </c>
      <c r="M260">
        <v>209.25</v>
      </c>
      <c r="N260" t="s">
        <v>38</v>
      </c>
      <c r="O260" t="s">
        <v>28</v>
      </c>
    </row>
    <row r="261" spans="1:15" x14ac:dyDescent="0.35">
      <c r="A261" t="s">
        <v>483</v>
      </c>
      <c r="B261" s="1">
        <v>45927</v>
      </c>
      <c r="C261" t="s">
        <v>484</v>
      </c>
      <c r="D261" t="s">
        <v>58</v>
      </c>
      <c r="E261" t="s">
        <v>18</v>
      </c>
      <c r="F261" t="s">
        <v>19</v>
      </c>
      <c r="G261" t="s">
        <v>20</v>
      </c>
      <c r="H261">
        <v>2</v>
      </c>
      <c r="I261">
        <v>288.85000000000002</v>
      </c>
      <c r="J261">
        <v>0.2</v>
      </c>
      <c r="K261">
        <v>462.16</v>
      </c>
      <c r="L261">
        <v>340</v>
      </c>
      <c r="M261">
        <v>122.16</v>
      </c>
      <c r="N261" t="s">
        <v>21</v>
      </c>
      <c r="O261" t="s">
        <v>28</v>
      </c>
    </row>
    <row r="262" spans="1:15" x14ac:dyDescent="0.35">
      <c r="A262" t="s">
        <v>485</v>
      </c>
      <c r="B262" s="1">
        <v>45701</v>
      </c>
      <c r="C262" t="s">
        <v>486</v>
      </c>
      <c r="D262" t="s">
        <v>60</v>
      </c>
      <c r="E262" t="s">
        <v>61</v>
      </c>
      <c r="F262" t="s">
        <v>108</v>
      </c>
      <c r="G262" t="s">
        <v>37</v>
      </c>
      <c r="H262">
        <v>2</v>
      </c>
      <c r="I262">
        <v>434.86</v>
      </c>
      <c r="J262">
        <v>0</v>
      </c>
      <c r="K262">
        <v>869.72</v>
      </c>
      <c r="L262">
        <v>560</v>
      </c>
      <c r="M262">
        <v>309.72000000000003</v>
      </c>
      <c r="N262" t="s">
        <v>38</v>
      </c>
      <c r="O262" t="s">
        <v>22</v>
      </c>
    </row>
    <row r="263" spans="1:15" x14ac:dyDescent="0.35">
      <c r="A263" t="s">
        <v>487</v>
      </c>
      <c r="B263" s="1">
        <v>45925</v>
      </c>
      <c r="C263" t="s">
        <v>488</v>
      </c>
      <c r="D263" t="s">
        <v>66</v>
      </c>
      <c r="E263" t="s">
        <v>61</v>
      </c>
      <c r="F263" t="s">
        <v>27</v>
      </c>
      <c r="G263" t="s">
        <v>20</v>
      </c>
      <c r="H263">
        <v>2</v>
      </c>
      <c r="I263">
        <v>194.77</v>
      </c>
      <c r="J263">
        <v>0.1</v>
      </c>
      <c r="K263">
        <v>350.59</v>
      </c>
      <c r="L263">
        <v>220</v>
      </c>
      <c r="M263">
        <v>130.59</v>
      </c>
      <c r="N263" t="s">
        <v>38</v>
      </c>
      <c r="O263" t="s">
        <v>28</v>
      </c>
    </row>
    <row r="264" spans="1:15" x14ac:dyDescent="0.35">
      <c r="A264" t="s">
        <v>489</v>
      </c>
      <c r="B264" s="1">
        <v>45895</v>
      </c>
      <c r="C264" t="s">
        <v>218</v>
      </c>
      <c r="D264" t="s">
        <v>25</v>
      </c>
      <c r="E264" t="s">
        <v>26</v>
      </c>
      <c r="F264" t="s">
        <v>108</v>
      </c>
      <c r="G264" t="s">
        <v>37</v>
      </c>
      <c r="H264">
        <v>1</v>
      </c>
      <c r="I264">
        <v>442.31</v>
      </c>
      <c r="J264">
        <v>0.05</v>
      </c>
      <c r="K264">
        <v>420.19</v>
      </c>
      <c r="L264">
        <v>280</v>
      </c>
      <c r="M264">
        <v>140.19</v>
      </c>
      <c r="N264" t="s">
        <v>21</v>
      </c>
      <c r="O264" t="s">
        <v>22</v>
      </c>
    </row>
    <row r="265" spans="1:15" x14ac:dyDescent="0.35">
      <c r="A265" t="s">
        <v>490</v>
      </c>
      <c r="B265" s="1">
        <v>46020</v>
      </c>
      <c r="C265" t="s">
        <v>137</v>
      </c>
      <c r="D265" t="s">
        <v>25</v>
      </c>
      <c r="E265" t="s">
        <v>26</v>
      </c>
      <c r="F265" t="s">
        <v>78</v>
      </c>
      <c r="G265" t="s">
        <v>20</v>
      </c>
      <c r="H265">
        <v>1</v>
      </c>
      <c r="I265">
        <v>316.52999999999997</v>
      </c>
      <c r="J265">
        <v>0</v>
      </c>
      <c r="K265">
        <v>316.52999999999997</v>
      </c>
      <c r="L265">
        <v>200</v>
      </c>
      <c r="M265">
        <v>116.53</v>
      </c>
      <c r="N265" t="s">
        <v>38</v>
      </c>
      <c r="O265" t="s">
        <v>28</v>
      </c>
    </row>
    <row r="266" spans="1:15" x14ac:dyDescent="0.35">
      <c r="A266" t="s">
        <v>491</v>
      </c>
      <c r="B266" s="1">
        <v>45903</v>
      </c>
      <c r="C266" t="s">
        <v>492</v>
      </c>
      <c r="D266" t="s">
        <v>58</v>
      </c>
      <c r="E266" t="s">
        <v>18</v>
      </c>
      <c r="F266" t="s">
        <v>27</v>
      </c>
      <c r="G266" t="s">
        <v>20</v>
      </c>
      <c r="H266">
        <v>1</v>
      </c>
      <c r="I266">
        <v>188.4</v>
      </c>
      <c r="J266">
        <v>0.1</v>
      </c>
      <c r="K266">
        <v>169.56</v>
      </c>
      <c r="L266">
        <v>110</v>
      </c>
      <c r="M266">
        <v>59.56</v>
      </c>
      <c r="N266" t="s">
        <v>47</v>
      </c>
      <c r="O266" t="s">
        <v>28</v>
      </c>
    </row>
    <row r="267" spans="1:15" x14ac:dyDescent="0.35">
      <c r="A267" t="s">
        <v>493</v>
      </c>
      <c r="B267" s="1">
        <v>45815</v>
      </c>
      <c r="C267" t="s">
        <v>183</v>
      </c>
      <c r="D267" t="s">
        <v>50</v>
      </c>
      <c r="E267" t="s">
        <v>32</v>
      </c>
      <c r="F267" t="s">
        <v>108</v>
      </c>
      <c r="G267" t="s">
        <v>37</v>
      </c>
      <c r="H267">
        <v>1</v>
      </c>
      <c r="I267">
        <v>422.34</v>
      </c>
      <c r="J267">
        <v>0.15</v>
      </c>
      <c r="K267">
        <v>358.99</v>
      </c>
      <c r="L267">
        <v>280</v>
      </c>
      <c r="M267">
        <v>78.989999999999995</v>
      </c>
      <c r="N267" t="s">
        <v>21</v>
      </c>
      <c r="O267" t="s">
        <v>28</v>
      </c>
    </row>
    <row r="268" spans="1:15" x14ac:dyDescent="0.35">
      <c r="A268" t="s">
        <v>494</v>
      </c>
      <c r="B268" s="1">
        <v>45811</v>
      </c>
      <c r="C268" t="s">
        <v>495</v>
      </c>
      <c r="D268" t="s">
        <v>31</v>
      </c>
      <c r="E268" t="s">
        <v>32</v>
      </c>
      <c r="F268" t="s">
        <v>78</v>
      </c>
      <c r="G268" t="s">
        <v>20</v>
      </c>
      <c r="H268">
        <v>3</v>
      </c>
      <c r="I268">
        <v>345.01</v>
      </c>
      <c r="J268">
        <v>0</v>
      </c>
      <c r="K268">
        <v>1035.03</v>
      </c>
      <c r="L268">
        <v>600</v>
      </c>
      <c r="M268">
        <v>435.03</v>
      </c>
      <c r="N268" t="s">
        <v>47</v>
      </c>
      <c r="O268" t="s">
        <v>42</v>
      </c>
    </row>
    <row r="269" spans="1:15" x14ac:dyDescent="0.35">
      <c r="A269" t="s">
        <v>496</v>
      </c>
      <c r="B269" s="1">
        <v>46021</v>
      </c>
      <c r="C269" t="s">
        <v>497</v>
      </c>
      <c r="D269" t="s">
        <v>17</v>
      </c>
      <c r="E269" t="s">
        <v>18</v>
      </c>
      <c r="F269" t="s">
        <v>41</v>
      </c>
      <c r="G269" t="s">
        <v>37</v>
      </c>
      <c r="H269">
        <v>2</v>
      </c>
      <c r="I269">
        <v>899.02</v>
      </c>
      <c r="J269">
        <v>0.05</v>
      </c>
      <c r="K269">
        <v>1708.14</v>
      </c>
      <c r="L269">
        <v>1200</v>
      </c>
      <c r="M269">
        <v>508.14</v>
      </c>
      <c r="N269" t="s">
        <v>21</v>
      </c>
      <c r="O269" t="s">
        <v>28</v>
      </c>
    </row>
    <row r="270" spans="1:15" x14ac:dyDescent="0.35">
      <c r="A270" t="s">
        <v>498</v>
      </c>
      <c r="B270" s="1">
        <v>45820</v>
      </c>
      <c r="C270" t="s">
        <v>407</v>
      </c>
      <c r="D270" t="s">
        <v>17</v>
      </c>
      <c r="E270" t="s">
        <v>18</v>
      </c>
      <c r="F270" t="s">
        <v>108</v>
      </c>
      <c r="G270" t="s">
        <v>37</v>
      </c>
      <c r="H270">
        <v>2</v>
      </c>
      <c r="I270">
        <v>439.89</v>
      </c>
      <c r="J270">
        <v>0.05</v>
      </c>
      <c r="K270">
        <v>835.79</v>
      </c>
      <c r="L270">
        <v>560</v>
      </c>
      <c r="M270">
        <v>275.79000000000002</v>
      </c>
      <c r="N270" t="s">
        <v>38</v>
      </c>
      <c r="O270" t="s">
        <v>22</v>
      </c>
    </row>
    <row r="271" spans="1:15" x14ac:dyDescent="0.35">
      <c r="A271" t="s">
        <v>499</v>
      </c>
      <c r="B271" s="1">
        <v>46007</v>
      </c>
      <c r="C271" t="s">
        <v>133</v>
      </c>
      <c r="D271" t="s">
        <v>45</v>
      </c>
      <c r="E271" t="s">
        <v>46</v>
      </c>
      <c r="F271" t="s">
        <v>36</v>
      </c>
      <c r="G271" t="s">
        <v>37</v>
      </c>
      <c r="H271">
        <v>3</v>
      </c>
      <c r="I271">
        <v>124.55</v>
      </c>
      <c r="J271">
        <v>0</v>
      </c>
      <c r="K271">
        <v>373.65</v>
      </c>
      <c r="L271">
        <v>180</v>
      </c>
      <c r="M271">
        <v>193.65</v>
      </c>
      <c r="N271" t="s">
        <v>38</v>
      </c>
      <c r="O271" t="s">
        <v>28</v>
      </c>
    </row>
    <row r="272" spans="1:15" x14ac:dyDescent="0.35">
      <c r="A272" t="s">
        <v>500</v>
      </c>
      <c r="B272" s="1">
        <v>45858</v>
      </c>
      <c r="C272" t="s">
        <v>84</v>
      </c>
      <c r="D272" t="s">
        <v>17</v>
      </c>
      <c r="E272" t="s">
        <v>18</v>
      </c>
      <c r="F272" t="s">
        <v>67</v>
      </c>
      <c r="G272" t="s">
        <v>37</v>
      </c>
      <c r="H272">
        <v>6</v>
      </c>
      <c r="I272">
        <v>72</v>
      </c>
      <c r="J272">
        <v>0</v>
      </c>
      <c r="K272">
        <v>432</v>
      </c>
      <c r="L272">
        <v>240</v>
      </c>
      <c r="M272">
        <v>192</v>
      </c>
      <c r="N272" t="s">
        <v>33</v>
      </c>
      <c r="O272" t="s">
        <v>28</v>
      </c>
    </row>
    <row r="273" spans="1:15" x14ac:dyDescent="0.35">
      <c r="A273" t="s">
        <v>501</v>
      </c>
      <c r="B273" s="1">
        <v>45800</v>
      </c>
      <c r="C273" t="s">
        <v>365</v>
      </c>
      <c r="D273" t="s">
        <v>45</v>
      </c>
      <c r="E273" t="s">
        <v>46</v>
      </c>
      <c r="F273" t="s">
        <v>19</v>
      </c>
      <c r="G273" t="s">
        <v>20</v>
      </c>
      <c r="H273">
        <v>1</v>
      </c>
      <c r="I273">
        <v>284.60000000000002</v>
      </c>
      <c r="J273">
        <v>0</v>
      </c>
      <c r="K273">
        <v>284.60000000000002</v>
      </c>
      <c r="L273">
        <v>170</v>
      </c>
      <c r="M273">
        <v>114.6</v>
      </c>
      <c r="N273" t="s">
        <v>33</v>
      </c>
      <c r="O273" t="s">
        <v>42</v>
      </c>
    </row>
    <row r="274" spans="1:15" x14ac:dyDescent="0.35">
      <c r="A274" t="s">
        <v>502</v>
      </c>
      <c r="B274" s="1">
        <v>46012</v>
      </c>
      <c r="C274" t="s">
        <v>503</v>
      </c>
      <c r="D274" t="s">
        <v>17</v>
      </c>
      <c r="E274" t="s">
        <v>18</v>
      </c>
      <c r="F274" t="s">
        <v>19</v>
      </c>
      <c r="G274" t="s">
        <v>20</v>
      </c>
      <c r="H274">
        <v>5</v>
      </c>
      <c r="I274">
        <v>292.5</v>
      </c>
      <c r="J274">
        <v>0.05</v>
      </c>
      <c r="K274">
        <v>1389.38</v>
      </c>
      <c r="L274">
        <v>850</v>
      </c>
      <c r="M274">
        <v>539.38</v>
      </c>
      <c r="N274" t="s">
        <v>21</v>
      </c>
      <c r="O274" t="s">
        <v>28</v>
      </c>
    </row>
    <row r="275" spans="1:15" x14ac:dyDescent="0.35">
      <c r="A275" t="s">
        <v>504</v>
      </c>
      <c r="B275" s="1">
        <v>45985</v>
      </c>
      <c r="C275" t="s">
        <v>160</v>
      </c>
      <c r="D275" t="s">
        <v>31</v>
      </c>
      <c r="E275" t="s">
        <v>32</v>
      </c>
      <c r="F275" t="s">
        <v>36</v>
      </c>
      <c r="G275" t="s">
        <v>37</v>
      </c>
      <c r="H275">
        <v>2</v>
      </c>
      <c r="I275">
        <v>121.47</v>
      </c>
      <c r="J275">
        <v>0.1</v>
      </c>
      <c r="K275">
        <v>218.65</v>
      </c>
      <c r="L275">
        <v>120</v>
      </c>
      <c r="M275">
        <v>98.65</v>
      </c>
      <c r="N275" t="s">
        <v>47</v>
      </c>
      <c r="O275" t="s">
        <v>28</v>
      </c>
    </row>
    <row r="276" spans="1:15" x14ac:dyDescent="0.35">
      <c r="A276" t="s">
        <v>505</v>
      </c>
      <c r="B276" s="1">
        <v>45759</v>
      </c>
      <c r="C276" t="s">
        <v>88</v>
      </c>
      <c r="D276" t="s">
        <v>45</v>
      </c>
      <c r="E276" t="s">
        <v>46</v>
      </c>
      <c r="F276" t="s">
        <v>78</v>
      </c>
      <c r="G276" t="s">
        <v>20</v>
      </c>
      <c r="H276">
        <v>4</v>
      </c>
      <c r="I276">
        <v>347.23</v>
      </c>
      <c r="J276">
        <v>0</v>
      </c>
      <c r="K276">
        <v>1388.92</v>
      </c>
      <c r="L276">
        <v>800</v>
      </c>
      <c r="M276">
        <v>588.91999999999996</v>
      </c>
      <c r="N276" t="s">
        <v>38</v>
      </c>
      <c r="O276" t="s">
        <v>28</v>
      </c>
    </row>
    <row r="277" spans="1:15" x14ac:dyDescent="0.35">
      <c r="A277" t="s">
        <v>506</v>
      </c>
      <c r="B277" s="1">
        <v>45984</v>
      </c>
      <c r="C277" t="s">
        <v>480</v>
      </c>
      <c r="D277" t="s">
        <v>31</v>
      </c>
      <c r="E277" t="s">
        <v>32</v>
      </c>
      <c r="F277" t="s">
        <v>51</v>
      </c>
      <c r="G277" t="s">
        <v>37</v>
      </c>
      <c r="H277">
        <v>3</v>
      </c>
      <c r="I277">
        <v>244.62</v>
      </c>
      <c r="J277">
        <v>0.05</v>
      </c>
      <c r="K277">
        <v>697.17</v>
      </c>
      <c r="L277">
        <v>450</v>
      </c>
      <c r="M277">
        <v>247.17</v>
      </c>
      <c r="N277" t="s">
        <v>47</v>
      </c>
      <c r="O277" t="s">
        <v>28</v>
      </c>
    </row>
    <row r="278" spans="1:15" x14ac:dyDescent="0.35">
      <c r="A278" t="s">
        <v>507</v>
      </c>
      <c r="B278" s="1">
        <v>45974</v>
      </c>
      <c r="C278" t="s">
        <v>235</v>
      </c>
      <c r="D278" t="s">
        <v>17</v>
      </c>
      <c r="E278" t="s">
        <v>18</v>
      </c>
      <c r="F278" t="s">
        <v>27</v>
      </c>
      <c r="G278" t="s">
        <v>20</v>
      </c>
      <c r="H278">
        <v>1</v>
      </c>
      <c r="I278">
        <v>194.51</v>
      </c>
      <c r="J278">
        <v>0</v>
      </c>
      <c r="K278">
        <v>194.51</v>
      </c>
      <c r="L278">
        <v>110</v>
      </c>
      <c r="M278">
        <v>84.51</v>
      </c>
      <c r="N278" t="s">
        <v>38</v>
      </c>
      <c r="O278" t="s">
        <v>28</v>
      </c>
    </row>
    <row r="279" spans="1:15" x14ac:dyDescent="0.35">
      <c r="A279" t="s">
        <v>508</v>
      </c>
      <c r="B279" s="1">
        <v>45991</v>
      </c>
      <c r="C279" t="s">
        <v>469</v>
      </c>
      <c r="D279" t="s">
        <v>31</v>
      </c>
      <c r="E279" t="s">
        <v>32</v>
      </c>
      <c r="F279" t="s">
        <v>41</v>
      </c>
      <c r="G279" t="s">
        <v>37</v>
      </c>
      <c r="H279">
        <v>1</v>
      </c>
      <c r="I279">
        <v>901.68</v>
      </c>
      <c r="J279">
        <v>0.15</v>
      </c>
      <c r="K279">
        <v>766.43</v>
      </c>
      <c r="L279">
        <v>600</v>
      </c>
      <c r="M279">
        <v>166.43</v>
      </c>
      <c r="N279" t="s">
        <v>47</v>
      </c>
      <c r="O279" t="s">
        <v>22</v>
      </c>
    </row>
    <row r="280" spans="1:15" x14ac:dyDescent="0.35">
      <c r="A280" t="s">
        <v>509</v>
      </c>
      <c r="B280" s="1">
        <v>45784</v>
      </c>
      <c r="C280" t="s">
        <v>510</v>
      </c>
      <c r="D280" t="s">
        <v>45</v>
      </c>
      <c r="E280" t="s">
        <v>46</v>
      </c>
      <c r="F280" t="s">
        <v>51</v>
      </c>
      <c r="G280" t="s">
        <v>37</v>
      </c>
      <c r="H280">
        <v>2</v>
      </c>
      <c r="I280">
        <v>236.9</v>
      </c>
      <c r="J280">
        <v>0.1</v>
      </c>
      <c r="K280">
        <v>426.42</v>
      </c>
      <c r="L280">
        <v>300</v>
      </c>
      <c r="M280">
        <v>126.42</v>
      </c>
      <c r="N280" t="s">
        <v>21</v>
      </c>
      <c r="O280" t="s">
        <v>42</v>
      </c>
    </row>
    <row r="281" spans="1:15" x14ac:dyDescent="0.35">
      <c r="A281" t="s">
        <v>511</v>
      </c>
      <c r="B281" s="1">
        <v>45912</v>
      </c>
      <c r="C281" t="s">
        <v>469</v>
      </c>
      <c r="D281" t="s">
        <v>50</v>
      </c>
      <c r="E281" t="s">
        <v>32</v>
      </c>
      <c r="F281" t="s">
        <v>19</v>
      </c>
      <c r="G281" t="s">
        <v>20</v>
      </c>
      <c r="H281">
        <v>1</v>
      </c>
      <c r="I281">
        <v>278.70999999999998</v>
      </c>
      <c r="J281">
        <v>0</v>
      </c>
      <c r="K281">
        <v>278.70999999999998</v>
      </c>
      <c r="L281">
        <v>170</v>
      </c>
      <c r="M281">
        <v>108.71</v>
      </c>
      <c r="N281" t="s">
        <v>21</v>
      </c>
      <c r="O281" t="s">
        <v>22</v>
      </c>
    </row>
    <row r="282" spans="1:15" x14ac:dyDescent="0.35">
      <c r="A282" t="s">
        <v>512</v>
      </c>
      <c r="B282" s="1">
        <v>45873</v>
      </c>
      <c r="C282" t="s">
        <v>346</v>
      </c>
      <c r="D282" t="s">
        <v>25</v>
      </c>
      <c r="E282" t="s">
        <v>26</v>
      </c>
      <c r="F282" t="s">
        <v>41</v>
      </c>
      <c r="G282" t="s">
        <v>37</v>
      </c>
      <c r="H282">
        <v>1</v>
      </c>
      <c r="I282">
        <v>816.58</v>
      </c>
      <c r="J282">
        <v>0.05</v>
      </c>
      <c r="K282">
        <v>775.75</v>
      </c>
      <c r="L282">
        <v>600</v>
      </c>
      <c r="M282">
        <v>175.75</v>
      </c>
      <c r="N282" t="s">
        <v>38</v>
      </c>
      <c r="O282" t="s">
        <v>42</v>
      </c>
    </row>
    <row r="283" spans="1:15" x14ac:dyDescent="0.35">
      <c r="A283" t="s">
        <v>513</v>
      </c>
      <c r="B283" s="1">
        <v>45683</v>
      </c>
      <c r="C283" t="s">
        <v>392</v>
      </c>
      <c r="D283" t="s">
        <v>17</v>
      </c>
      <c r="E283" t="s">
        <v>18</v>
      </c>
      <c r="F283" t="s">
        <v>19</v>
      </c>
      <c r="G283" t="s">
        <v>20</v>
      </c>
      <c r="H283">
        <v>1</v>
      </c>
      <c r="I283">
        <v>277.17</v>
      </c>
      <c r="J283">
        <v>0.15</v>
      </c>
      <c r="K283">
        <v>235.59</v>
      </c>
      <c r="L283">
        <v>170</v>
      </c>
      <c r="M283">
        <v>65.59</v>
      </c>
      <c r="N283" t="s">
        <v>38</v>
      </c>
      <c r="O283" t="s">
        <v>28</v>
      </c>
    </row>
    <row r="284" spans="1:15" x14ac:dyDescent="0.35">
      <c r="A284" t="s">
        <v>514</v>
      </c>
      <c r="B284" s="1">
        <v>45917</v>
      </c>
      <c r="C284" t="s">
        <v>435</v>
      </c>
      <c r="D284" t="s">
        <v>31</v>
      </c>
      <c r="E284" t="s">
        <v>32</v>
      </c>
      <c r="F284" t="s">
        <v>67</v>
      </c>
      <c r="G284" t="s">
        <v>37</v>
      </c>
      <c r="H284">
        <v>2</v>
      </c>
      <c r="I284">
        <v>80.52</v>
      </c>
      <c r="J284">
        <v>0.05</v>
      </c>
      <c r="K284">
        <v>152.99</v>
      </c>
      <c r="L284">
        <v>80</v>
      </c>
      <c r="M284">
        <v>72.989999999999995</v>
      </c>
      <c r="N284" t="s">
        <v>38</v>
      </c>
      <c r="O284" t="s">
        <v>28</v>
      </c>
    </row>
    <row r="285" spans="1:15" x14ac:dyDescent="0.35">
      <c r="A285" t="s">
        <v>515</v>
      </c>
      <c r="B285" s="1">
        <v>45744</v>
      </c>
      <c r="C285" t="s">
        <v>516</v>
      </c>
      <c r="D285" t="s">
        <v>31</v>
      </c>
      <c r="E285" t="s">
        <v>32</v>
      </c>
      <c r="F285" t="s">
        <v>78</v>
      </c>
      <c r="G285" t="s">
        <v>20</v>
      </c>
      <c r="H285">
        <v>5</v>
      </c>
      <c r="I285">
        <v>310.43</v>
      </c>
      <c r="J285">
        <v>0</v>
      </c>
      <c r="K285">
        <v>1552.15</v>
      </c>
      <c r="L285">
        <v>1000</v>
      </c>
      <c r="M285">
        <v>552.15</v>
      </c>
      <c r="N285" t="s">
        <v>33</v>
      </c>
      <c r="O285" t="s">
        <v>28</v>
      </c>
    </row>
    <row r="286" spans="1:15" x14ac:dyDescent="0.35">
      <c r="A286" t="s">
        <v>517</v>
      </c>
      <c r="B286" s="1">
        <v>46019</v>
      </c>
      <c r="C286" t="s">
        <v>344</v>
      </c>
      <c r="D286" t="s">
        <v>60</v>
      </c>
      <c r="E286" t="s">
        <v>61</v>
      </c>
      <c r="F286" t="s">
        <v>41</v>
      </c>
      <c r="G286" t="s">
        <v>37</v>
      </c>
      <c r="H286">
        <v>2</v>
      </c>
      <c r="I286">
        <v>829.17</v>
      </c>
      <c r="J286">
        <v>0.05</v>
      </c>
      <c r="K286">
        <v>1575.42</v>
      </c>
      <c r="L286">
        <v>1200</v>
      </c>
      <c r="M286">
        <v>375.42</v>
      </c>
      <c r="N286" t="s">
        <v>47</v>
      </c>
      <c r="O286" t="s">
        <v>42</v>
      </c>
    </row>
    <row r="287" spans="1:15" x14ac:dyDescent="0.35">
      <c r="A287" t="s">
        <v>518</v>
      </c>
      <c r="B287" s="1">
        <v>45846</v>
      </c>
      <c r="C287" t="s">
        <v>268</v>
      </c>
      <c r="D287" t="s">
        <v>31</v>
      </c>
      <c r="E287" t="s">
        <v>32</v>
      </c>
      <c r="F287" t="s">
        <v>41</v>
      </c>
      <c r="G287" t="s">
        <v>37</v>
      </c>
      <c r="H287">
        <v>1</v>
      </c>
      <c r="I287">
        <v>811.56</v>
      </c>
      <c r="J287">
        <v>0</v>
      </c>
      <c r="K287">
        <v>811.56</v>
      </c>
      <c r="L287">
        <v>600</v>
      </c>
      <c r="M287">
        <v>211.56</v>
      </c>
      <c r="N287" t="s">
        <v>47</v>
      </c>
      <c r="O287" t="s">
        <v>28</v>
      </c>
    </row>
    <row r="288" spans="1:15" x14ac:dyDescent="0.35">
      <c r="A288" t="s">
        <v>519</v>
      </c>
      <c r="B288" s="1">
        <v>45849</v>
      </c>
      <c r="C288" t="s">
        <v>520</v>
      </c>
      <c r="D288" t="s">
        <v>31</v>
      </c>
      <c r="E288" t="s">
        <v>32</v>
      </c>
      <c r="F288" t="s">
        <v>108</v>
      </c>
      <c r="G288" t="s">
        <v>37</v>
      </c>
      <c r="H288">
        <v>2</v>
      </c>
      <c r="I288">
        <v>420.68</v>
      </c>
      <c r="J288">
        <v>0.15</v>
      </c>
      <c r="K288">
        <v>715.16</v>
      </c>
      <c r="L288">
        <v>560</v>
      </c>
      <c r="M288">
        <v>155.16</v>
      </c>
      <c r="N288" t="s">
        <v>47</v>
      </c>
      <c r="O288" t="s">
        <v>28</v>
      </c>
    </row>
    <row r="289" spans="1:15" x14ac:dyDescent="0.35">
      <c r="A289" t="s">
        <v>521</v>
      </c>
      <c r="B289" s="1">
        <v>45964</v>
      </c>
      <c r="C289" t="s">
        <v>413</v>
      </c>
      <c r="D289" t="s">
        <v>58</v>
      </c>
      <c r="E289" t="s">
        <v>18</v>
      </c>
      <c r="F289" t="s">
        <v>51</v>
      </c>
      <c r="G289" t="s">
        <v>37</v>
      </c>
      <c r="H289">
        <v>3</v>
      </c>
      <c r="I289">
        <v>249.07</v>
      </c>
      <c r="J289">
        <v>0</v>
      </c>
      <c r="K289">
        <v>747.21</v>
      </c>
      <c r="L289">
        <v>450</v>
      </c>
      <c r="M289">
        <v>297.20999999999998</v>
      </c>
      <c r="N289" t="s">
        <v>47</v>
      </c>
      <c r="O289" t="s">
        <v>22</v>
      </c>
    </row>
    <row r="290" spans="1:15" x14ac:dyDescent="0.35">
      <c r="A290" t="s">
        <v>522</v>
      </c>
      <c r="B290" s="1">
        <v>45702</v>
      </c>
      <c r="C290" t="s">
        <v>110</v>
      </c>
      <c r="D290" t="s">
        <v>60</v>
      </c>
      <c r="E290" t="s">
        <v>61</v>
      </c>
      <c r="F290" t="s">
        <v>27</v>
      </c>
      <c r="G290" t="s">
        <v>20</v>
      </c>
      <c r="H290">
        <v>2</v>
      </c>
      <c r="I290">
        <v>202.92</v>
      </c>
      <c r="J290">
        <v>0</v>
      </c>
      <c r="K290">
        <v>405.84</v>
      </c>
      <c r="L290">
        <v>220</v>
      </c>
      <c r="M290">
        <v>185.84</v>
      </c>
      <c r="N290" t="s">
        <v>38</v>
      </c>
      <c r="O290" t="s">
        <v>28</v>
      </c>
    </row>
    <row r="291" spans="1:15" x14ac:dyDescent="0.35">
      <c r="A291" t="s">
        <v>523</v>
      </c>
      <c r="B291" s="1">
        <v>45747</v>
      </c>
      <c r="C291" t="s">
        <v>524</v>
      </c>
      <c r="D291" t="s">
        <v>45</v>
      </c>
      <c r="E291" t="s">
        <v>46</v>
      </c>
      <c r="F291" t="s">
        <v>67</v>
      </c>
      <c r="G291" t="s">
        <v>37</v>
      </c>
      <c r="H291">
        <v>4</v>
      </c>
      <c r="I291">
        <v>77.45</v>
      </c>
      <c r="J291">
        <v>0</v>
      </c>
      <c r="K291">
        <v>309.8</v>
      </c>
      <c r="L291">
        <v>160</v>
      </c>
      <c r="M291">
        <v>149.80000000000001</v>
      </c>
      <c r="N291" t="s">
        <v>21</v>
      </c>
      <c r="O291" t="s">
        <v>42</v>
      </c>
    </row>
    <row r="292" spans="1:15" x14ac:dyDescent="0.35">
      <c r="A292" t="s">
        <v>525</v>
      </c>
      <c r="B292" s="1">
        <v>45995</v>
      </c>
      <c r="C292" t="s">
        <v>35</v>
      </c>
      <c r="D292" t="s">
        <v>66</v>
      </c>
      <c r="E292" t="s">
        <v>61</v>
      </c>
      <c r="F292" t="s">
        <v>108</v>
      </c>
      <c r="G292" t="s">
        <v>37</v>
      </c>
      <c r="H292">
        <v>3</v>
      </c>
      <c r="I292">
        <v>435.18</v>
      </c>
      <c r="J292">
        <v>0.1</v>
      </c>
      <c r="K292">
        <v>1174.99</v>
      </c>
      <c r="L292">
        <v>840</v>
      </c>
      <c r="M292">
        <v>334.99</v>
      </c>
      <c r="N292" t="s">
        <v>47</v>
      </c>
      <c r="O292" t="s">
        <v>28</v>
      </c>
    </row>
    <row r="293" spans="1:15" x14ac:dyDescent="0.35">
      <c r="A293" t="s">
        <v>526</v>
      </c>
      <c r="B293" s="1">
        <v>45770</v>
      </c>
      <c r="C293" t="s">
        <v>270</v>
      </c>
      <c r="D293" t="s">
        <v>60</v>
      </c>
      <c r="E293" t="s">
        <v>61</v>
      </c>
      <c r="F293" t="s">
        <v>67</v>
      </c>
      <c r="G293" t="s">
        <v>37</v>
      </c>
      <c r="H293">
        <v>1</v>
      </c>
      <c r="I293">
        <v>80.430000000000007</v>
      </c>
      <c r="J293">
        <v>0</v>
      </c>
      <c r="K293">
        <v>80.430000000000007</v>
      </c>
      <c r="L293">
        <v>40</v>
      </c>
      <c r="M293">
        <v>40.43</v>
      </c>
      <c r="N293" t="s">
        <v>21</v>
      </c>
      <c r="O293" t="s">
        <v>42</v>
      </c>
    </row>
    <row r="294" spans="1:15" x14ac:dyDescent="0.35">
      <c r="A294" t="s">
        <v>527</v>
      </c>
      <c r="B294" s="1">
        <v>45923</v>
      </c>
      <c r="C294" t="s">
        <v>84</v>
      </c>
      <c r="D294" t="s">
        <v>31</v>
      </c>
      <c r="E294" t="s">
        <v>32</v>
      </c>
      <c r="F294" t="s">
        <v>108</v>
      </c>
      <c r="G294" t="s">
        <v>37</v>
      </c>
      <c r="H294">
        <v>1</v>
      </c>
      <c r="I294">
        <v>407.43</v>
      </c>
      <c r="J294">
        <v>0</v>
      </c>
      <c r="K294">
        <v>407.43</v>
      </c>
      <c r="L294">
        <v>280</v>
      </c>
      <c r="M294">
        <v>127.43</v>
      </c>
      <c r="N294" t="s">
        <v>38</v>
      </c>
      <c r="O294" t="s">
        <v>42</v>
      </c>
    </row>
    <row r="295" spans="1:15" x14ac:dyDescent="0.35">
      <c r="A295" t="s">
        <v>528</v>
      </c>
      <c r="B295" s="1">
        <v>45750</v>
      </c>
      <c r="C295" t="s">
        <v>510</v>
      </c>
      <c r="D295" t="s">
        <v>31</v>
      </c>
      <c r="E295" t="s">
        <v>32</v>
      </c>
      <c r="F295" t="s">
        <v>36</v>
      </c>
      <c r="G295" t="s">
        <v>37</v>
      </c>
      <c r="H295">
        <v>2</v>
      </c>
      <c r="I295">
        <v>114.18</v>
      </c>
      <c r="J295">
        <v>0</v>
      </c>
      <c r="K295">
        <v>228.36</v>
      </c>
      <c r="L295">
        <v>120</v>
      </c>
      <c r="M295">
        <v>108.36</v>
      </c>
      <c r="N295" t="s">
        <v>47</v>
      </c>
      <c r="O295" t="s">
        <v>28</v>
      </c>
    </row>
    <row r="296" spans="1:15" x14ac:dyDescent="0.35">
      <c r="A296" t="s">
        <v>529</v>
      </c>
      <c r="B296" s="1">
        <v>46014</v>
      </c>
      <c r="C296" t="s">
        <v>530</v>
      </c>
      <c r="D296" t="s">
        <v>50</v>
      </c>
      <c r="E296" t="s">
        <v>32</v>
      </c>
      <c r="F296" t="s">
        <v>78</v>
      </c>
      <c r="G296" t="s">
        <v>20</v>
      </c>
      <c r="H296">
        <v>3</v>
      </c>
      <c r="I296">
        <v>339.56</v>
      </c>
      <c r="J296">
        <v>0</v>
      </c>
      <c r="K296">
        <v>1018.68</v>
      </c>
      <c r="L296">
        <v>600</v>
      </c>
      <c r="M296">
        <v>418.68</v>
      </c>
      <c r="N296" t="s">
        <v>47</v>
      </c>
      <c r="O296" t="s">
        <v>22</v>
      </c>
    </row>
    <row r="297" spans="1:15" x14ac:dyDescent="0.35">
      <c r="A297" t="s">
        <v>531</v>
      </c>
      <c r="B297" s="1">
        <v>45756</v>
      </c>
      <c r="C297" t="s">
        <v>532</v>
      </c>
      <c r="D297" t="s">
        <v>50</v>
      </c>
      <c r="E297" t="s">
        <v>32</v>
      </c>
      <c r="F297" t="s">
        <v>51</v>
      </c>
      <c r="G297" t="s">
        <v>37</v>
      </c>
      <c r="H297">
        <v>2</v>
      </c>
      <c r="I297">
        <v>246.42</v>
      </c>
      <c r="J297">
        <v>0.1</v>
      </c>
      <c r="K297">
        <v>443.56</v>
      </c>
      <c r="L297">
        <v>300</v>
      </c>
      <c r="M297">
        <v>143.56</v>
      </c>
      <c r="N297" t="s">
        <v>47</v>
      </c>
      <c r="O297" t="s">
        <v>28</v>
      </c>
    </row>
    <row r="298" spans="1:15" x14ac:dyDescent="0.35">
      <c r="A298" t="s">
        <v>533</v>
      </c>
      <c r="B298" s="1">
        <v>45829</v>
      </c>
      <c r="C298" t="s">
        <v>534</v>
      </c>
      <c r="D298" t="s">
        <v>45</v>
      </c>
      <c r="E298" t="s">
        <v>46</v>
      </c>
      <c r="F298" t="s">
        <v>41</v>
      </c>
      <c r="G298" t="s">
        <v>37</v>
      </c>
      <c r="H298">
        <v>2</v>
      </c>
      <c r="I298">
        <v>871.83</v>
      </c>
      <c r="J298">
        <v>0</v>
      </c>
      <c r="K298">
        <v>1743.66</v>
      </c>
      <c r="L298">
        <v>1200</v>
      </c>
      <c r="M298">
        <v>543.66</v>
      </c>
      <c r="N298" t="s">
        <v>38</v>
      </c>
      <c r="O298" t="s">
        <v>28</v>
      </c>
    </row>
    <row r="299" spans="1:15" x14ac:dyDescent="0.35">
      <c r="A299" t="s">
        <v>535</v>
      </c>
      <c r="B299" s="1">
        <v>45813</v>
      </c>
      <c r="C299" t="s">
        <v>141</v>
      </c>
      <c r="D299" t="s">
        <v>50</v>
      </c>
      <c r="E299" t="s">
        <v>32</v>
      </c>
      <c r="F299" t="s">
        <v>51</v>
      </c>
      <c r="G299" t="s">
        <v>37</v>
      </c>
      <c r="H299">
        <v>1</v>
      </c>
      <c r="I299">
        <v>238.79</v>
      </c>
      <c r="J299">
        <v>0.15</v>
      </c>
      <c r="K299">
        <v>202.97</v>
      </c>
      <c r="L299">
        <v>150</v>
      </c>
      <c r="M299">
        <v>52.97</v>
      </c>
      <c r="N299" t="s">
        <v>21</v>
      </c>
      <c r="O299" t="s">
        <v>42</v>
      </c>
    </row>
    <row r="300" spans="1:15" x14ac:dyDescent="0.35">
      <c r="A300" t="s">
        <v>536</v>
      </c>
      <c r="B300" s="1">
        <v>45783</v>
      </c>
      <c r="C300" t="s">
        <v>95</v>
      </c>
      <c r="D300" t="s">
        <v>58</v>
      </c>
      <c r="E300" t="s">
        <v>18</v>
      </c>
      <c r="F300" t="s">
        <v>41</v>
      </c>
      <c r="G300" t="s">
        <v>37</v>
      </c>
      <c r="H300">
        <v>1</v>
      </c>
      <c r="I300">
        <v>866.18</v>
      </c>
      <c r="J300">
        <v>0.1</v>
      </c>
      <c r="K300">
        <v>779.56</v>
      </c>
      <c r="L300">
        <v>600</v>
      </c>
      <c r="M300">
        <v>179.56</v>
      </c>
      <c r="N300" t="s">
        <v>47</v>
      </c>
      <c r="O300" t="s">
        <v>42</v>
      </c>
    </row>
    <row r="301" spans="1:15" x14ac:dyDescent="0.35">
      <c r="A301" t="s">
        <v>537</v>
      </c>
      <c r="B301" s="1">
        <v>45688</v>
      </c>
      <c r="C301" t="s">
        <v>170</v>
      </c>
      <c r="D301" t="s">
        <v>17</v>
      </c>
      <c r="E301" t="s">
        <v>18</v>
      </c>
      <c r="F301" t="s">
        <v>41</v>
      </c>
      <c r="G301" t="s">
        <v>37</v>
      </c>
      <c r="H301">
        <v>1</v>
      </c>
      <c r="I301">
        <v>810.54</v>
      </c>
      <c r="J301">
        <v>0.05</v>
      </c>
      <c r="K301">
        <v>770.01</v>
      </c>
      <c r="L301">
        <v>600</v>
      </c>
      <c r="M301">
        <v>170.01</v>
      </c>
      <c r="N301" t="s">
        <v>21</v>
      </c>
      <c r="O301" t="s">
        <v>28</v>
      </c>
    </row>
    <row r="302" spans="1:15" x14ac:dyDescent="0.35">
      <c r="A302" t="s">
        <v>538</v>
      </c>
      <c r="B302" s="1">
        <v>46020</v>
      </c>
      <c r="C302" t="s">
        <v>53</v>
      </c>
      <c r="D302" t="s">
        <v>25</v>
      </c>
      <c r="E302" t="s">
        <v>26</v>
      </c>
      <c r="F302" t="s">
        <v>36</v>
      </c>
      <c r="G302" t="s">
        <v>37</v>
      </c>
      <c r="H302">
        <v>1</v>
      </c>
      <c r="I302">
        <v>125.8</v>
      </c>
      <c r="J302">
        <v>0</v>
      </c>
      <c r="K302">
        <v>125.8</v>
      </c>
      <c r="L302">
        <v>60</v>
      </c>
      <c r="M302">
        <v>65.8</v>
      </c>
      <c r="N302" t="s">
        <v>21</v>
      </c>
      <c r="O302" t="s">
        <v>22</v>
      </c>
    </row>
    <row r="303" spans="1:15" x14ac:dyDescent="0.35">
      <c r="A303" t="s">
        <v>539</v>
      </c>
      <c r="B303" s="1">
        <v>45782</v>
      </c>
      <c r="C303" t="s">
        <v>332</v>
      </c>
      <c r="D303" t="s">
        <v>50</v>
      </c>
      <c r="E303" t="s">
        <v>32</v>
      </c>
      <c r="F303" t="s">
        <v>108</v>
      </c>
      <c r="G303" t="s">
        <v>37</v>
      </c>
      <c r="H303">
        <v>2</v>
      </c>
      <c r="I303">
        <v>423.25</v>
      </c>
      <c r="J303">
        <v>0.05</v>
      </c>
      <c r="K303">
        <v>804.18</v>
      </c>
      <c r="L303">
        <v>560</v>
      </c>
      <c r="M303">
        <v>244.18</v>
      </c>
      <c r="N303" t="s">
        <v>47</v>
      </c>
      <c r="O303" t="s">
        <v>28</v>
      </c>
    </row>
    <row r="304" spans="1:15" x14ac:dyDescent="0.35">
      <c r="A304" t="s">
        <v>540</v>
      </c>
      <c r="B304" s="1">
        <v>45716</v>
      </c>
      <c r="C304" t="s">
        <v>541</v>
      </c>
      <c r="D304" t="s">
        <v>45</v>
      </c>
      <c r="E304" t="s">
        <v>46</v>
      </c>
      <c r="F304" t="s">
        <v>78</v>
      </c>
      <c r="G304" t="s">
        <v>20</v>
      </c>
      <c r="H304">
        <v>2</v>
      </c>
      <c r="I304">
        <v>323.13</v>
      </c>
      <c r="J304">
        <v>0</v>
      </c>
      <c r="K304">
        <v>646.26</v>
      </c>
      <c r="L304">
        <v>400</v>
      </c>
      <c r="M304">
        <v>246.26</v>
      </c>
      <c r="N304" t="s">
        <v>21</v>
      </c>
      <c r="O304" t="s">
        <v>42</v>
      </c>
    </row>
    <row r="305" spans="1:15" x14ac:dyDescent="0.35">
      <c r="A305" t="s">
        <v>542</v>
      </c>
      <c r="B305" s="1">
        <v>45819</v>
      </c>
      <c r="C305" t="s">
        <v>442</v>
      </c>
      <c r="D305" t="s">
        <v>50</v>
      </c>
      <c r="E305" t="s">
        <v>32</v>
      </c>
      <c r="F305" t="s">
        <v>78</v>
      </c>
      <c r="G305" t="s">
        <v>20</v>
      </c>
      <c r="H305">
        <v>1</v>
      </c>
      <c r="I305">
        <v>323.8</v>
      </c>
      <c r="J305">
        <v>0.1</v>
      </c>
      <c r="K305">
        <v>291.42</v>
      </c>
      <c r="L305">
        <v>200</v>
      </c>
      <c r="M305">
        <v>91.42</v>
      </c>
      <c r="N305" t="s">
        <v>21</v>
      </c>
      <c r="O305" t="s">
        <v>28</v>
      </c>
    </row>
    <row r="306" spans="1:15" x14ac:dyDescent="0.35">
      <c r="A306" t="s">
        <v>543</v>
      </c>
      <c r="B306" s="1">
        <v>45678</v>
      </c>
      <c r="C306" t="s">
        <v>344</v>
      </c>
      <c r="D306" t="s">
        <v>17</v>
      </c>
      <c r="E306" t="s">
        <v>18</v>
      </c>
      <c r="F306" t="s">
        <v>36</v>
      </c>
      <c r="G306" t="s">
        <v>37</v>
      </c>
      <c r="H306">
        <v>3</v>
      </c>
      <c r="I306">
        <v>123.06</v>
      </c>
      <c r="J306">
        <v>0</v>
      </c>
      <c r="K306">
        <v>369.18</v>
      </c>
      <c r="L306">
        <v>180</v>
      </c>
      <c r="M306">
        <v>189.18</v>
      </c>
      <c r="N306" t="s">
        <v>47</v>
      </c>
      <c r="O306" t="s">
        <v>28</v>
      </c>
    </row>
    <row r="307" spans="1:15" x14ac:dyDescent="0.35">
      <c r="A307" t="s">
        <v>544</v>
      </c>
      <c r="B307" s="1">
        <v>45930</v>
      </c>
      <c r="C307" t="s">
        <v>162</v>
      </c>
      <c r="D307" t="s">
        <v>58</v>
      </c>
      <c r="E307" t="s">
        <v>18</v>
      </c>
      <c r="F307" t="s">
        <v>67</v>
      </c>
      <c r="G307" t="s">
        <v>37</v>
      </c>
      <c r="H307">
        <v>2</v>
      </c>
      <c r="I307">
        <v>78.98</v>
      </c>
      <c r="J307">
        <v>0</v>
      </c>
      <c r="K307">
        <v>157.96</v>
      </c>
      <c r="L307">
        <v>80</v>
      </c>
      <c r="M307">
        <v>77.959999999999994</v>
      </c>
      <c r="N307" t="s">
        <v>38</v>
      </c>
      <c r="O307" t="s">
        <v>28</v>
      </c>
    </row>
    <row r="308" spans="1:15" x14ac:dyDescent="0.35">
      <c r="A308" t="s">
        <v>545</v>
      </c>
      <c r="B308" s="1">
        <v>45662</v>
      </c>
      <c r="C308" t="s">
        <v>435</v>
      </c>
      <c r="D308" t="s">
        <v>60</v>
      </c>
      <c r="E308" t="s">
        <v>61</v>
      </c>
      <c r="F308" t="s">
        <v>19</v>
      </c>
      <c r="G308" t="s">
        <v>20</v>
      </c>
      <c r="H308">
        <v>2</v>
      </c>
      <c r="I308">
        <v>295.70999999999998</v>
      </c>
      <c r="J308">
        <v>0</v>
      </c>
      <c r="K308">
        <v>591.41999999999996</v>
      </c>
      <c r="L308">
        <v>340</v>
      </c>
      <c r="M308">
        <v>251.42</v>
      </c>
      <c r="N308" t="s">
        <v>21</v>
      </c>
      <c r="O308" t="s">
        <v>28</v>
      </c>
    </row>
    <row r="309" spans="1:15" x14ac:dyDescent="0.35">
      <c r="A309" t="s">
        <v>546</v>
      </c>
      <c r="B309" s="1">
        <v>45903</v>
      </c>
      <c r="C309" t="s">
        <v>235</v>
      </c>
      <c r="D309" t="s">
        <v>50</v>
      </c>
      <c r="E309" t="s">
        <v>32</v>
      </c>
      <c r="F309" t="s">
        <v>78</v>
      </c>
      <c r="G309" t="s">
        <v>20</v>
      </c>
      <c r="H309">
        <v>4</v>
      </c>
      <c r="I309">
        <v>342.31</v>
      </c>
      <c r="J309">
        <v>0</v>
      </c>
      <c r="K309">
        <v>1369.24</v>
      </c>
      <c r="L309">
        <v>800</v>
      </c>
      <c r="M309">
        <v>569.24</v>
      </c>
      <c r="N309" t="s">
        <v>33</v>
      </c>
      <c r="O309" t="s">
        <v>22</v>
      </c>
    </row>
    <row r="310" spans="1:15" x14ac:dyDescent="0.35">
      <c r="A310" t="s">
        <v>547</v>
      </c>
      <c r="B310" s="1">
        <v>45674</v>
      </c>
      <c r="C310" t="s">
        <v>418</v>
      </c>
      <c r="D310" t="s">
        <v>58</v>
      </c>
      <c r="E310" t="s">
        <v>18</v>
      </c>
      <c r="F310" t="s">
        <v>36</v>
      </c>
      <c r="G310" t="s">
        <v>37</v>
      </c>
      <c r="H310">
        <v>2</v>
      </c>
      <c r="I310">
        <v>125.77</v>
      </c>
      <c r="J310">
        <v>0</v>
      </c>
      <c r="K310">
        <v>251.54</v>
      </c>
      <c r="L310">
        <v>120</v>
      </c>
      <c r="M310">
        <v>131.54</v>
      </c>
      <c r="N310" t="s">
        <v>21</v>
      </c>
      <c r="O310" t="s">
        <v>28</v>
      </c>
    </row>
    <row r="311" spans="1:15" x14ac:dyDescent="0.35">
      <c r="A311" t="s">
        <v>548</v>
      </c>
      <c r="B311" s="1">
        <v>45732</v>
      </c>
      <c r="C311" t="s">
        <v>549</v>
      </c>
      <c r="D311" t="s">
        <v>60</v>
      </c>
      <c r="E311" t="s">
        <v>61</v>
      </c>
      <c r="F311" t="s">
        <v>78</v>
      </c>
      <c r="G311" t="s">
        <v>20</v>
      </c>
      <c r="H311">
        <v>4</v>
      </c>
      <c r="I311">
        <v>330.35</v>
      </c>
      <c r="J311">
        <v>0</v>
      </c>
      <c r="K311">
        <v>1321.4</v>
      </c>
      <c r="L311">
        <v>800</v>
      </c>
      <c r="M311">
        <v>521.4</v>
      </c>
      <c r="N311" t="s">
        <v>38</v>
      </c>
      <c r="O311" t="s">
        <v>22</v>
      </c>
    </row>
    <row r="312" spans="1:15" x14ac:dyDescent="0.35">
      <c r="A312" t="s">
        <v>550</v>
      </c>
      <c r="B312" s="1">
        <v>45876</v>
      </c>
      <c r="C312" t="s">
        <v>308</v>
      </c>
      <c r="D312" t="s">
        <v>66</v>
      </c>
      <c r="E312" t="s">
        <v>61</v>
      </c>
      <c r="F312" t="s">
        <v>67</v>
      </c>
      <c r="G312" t="s">
        <v>37</v>
      </c>
      <c r="H312">
        <v>4</v>
      </c>
      <c r="I312">
        <v>76.84</v>
      </c>
      <c r="J312">
        <v>0.1</v>
      </c>
      <c r="K312">
        <v>276.62</v>
      </c>
      <c r="L312">
        <v>160</v>
      </c>
      <c r="M312">
        <v>116.62</v>
      </c>
      <c r="N312" t="s">
        <v>21</v>
      </c>
      <c r="O312" t="s">
        <v>28</v>
      </c>
    </row>
    <row r="313" spans="1:15" x14ac:dyDescent="0.35">
      <c r="A313" t="s">
        <v>551</v>
      </c>
      <c r="B313" s="1">
        <v>45773</v>
      </c>
      <c r="C313" t="s">
        <v>191</v>
      </c>
      <c r="D313" t="s">
        <v>50</v>
      </c>
      <c r="E313" t="s">
        <v>32</v>
      </c>
      <c r="F313" t="s">
        <v>41</v>
      </c>
      <c r="G313" t="s">
        <v>37</v>
      </c>
      <c r="H313">
        <v>3</v>
      </c>
      <c r="I313">
        <v>834.06</v>
      </c>
      <c r="J313">
        <v>0</v>
      </c>
      <c r="K313">
        <v>2502.1799999999998</v>
      </c>
      <c r="L313">
        <v>1800</v>
      </c>
      <c r="M313">
        <v>702.18</v>
      </c>
      <c r="N313" t="s">
        <v>47</v>
      </c>
      <c r="O313" t="s">
        <v>28</v>
      </c>
    </row>
    <row r="314" spans="1:15" x14ac:dyDescent="0.35">
      <c r="A314" t="s">
        <v>552</v>
      </c>
      <c r="B314" s="1">
        <v>45846</v>
      </c>
      <c r="C314" t="s">
        <v>377</v>
      </c>
      <c r="D314" t="s">
        <v>45</v>
      </c>
      <c r="E314" t="s">
        <v>46</v>
      </c>
      <c r="F314" t="s">
        <v>51</v>
      </c>
      <c r="G314" t="s">
        <v>37</v>
      </c>
      <c r="H314">
        <v>1</v>
      </c>
      <c r="I314">
        <v>249.46</v>
      </c>
      <c r="J314">
        <v>0.05</v>
      </c>
      <c r="K314">
        <v>236.99</v>
      </c>
      <c r="L314">
        <v>150</v>
      </c>
      <c r="M314">
        <v>86.99</v>
      </c>
      <c r="N314" t="s">
        <v>38</v>
      </c>
      <c r="O314" t="s">
        <v>28</v>
      </c>
    </row>
    <row r="315" spans="1:15" x14ac:dyDescent="0.35">
      <c r="A315" t="s">
        <v>553</v>
      </c>
      <c r="B315" s="1">
        <v>45783</v>
      </c>
      <c r="C315" t="s">
        <v>554</v>
      </c>
      <c r="D315" t="s">
        <v>50</v>
      </c>
      <c r="E315" t="s">
        <v>32</v>
      </c>
      <c r="F315" t="s">
        <v>27</v>
      </c>
      <c r="G315" t="s">
        <v>20</v>
      </c>
      <c r="H315">
        <v>4</v>
      </c>
      <c r="I315">
        <v>198.61</v>
      </c>
      <c r="J315">
        <v>0</v>
      </c>
      <c r="K315">
        <v>794.44</v>
      </c>
      <c r="L315">
        <v>440</v>
      </c>
      <c r="M315">
        <v>354.44</v>
      </c>
      <c r="N315" t="s">
        <v>33</v>
      </c>
      <c r="O315" t="s">
        <v>42</v>
      </c>
    </row>
    <row r="316" spans="1:15" x14ac:dyDescent="0.35">
      <c r="A316" t="s">
        <v>555</v>
      </c>
      <c r="B316" s="1">
        <v>45770</v>
      </c>
      <c r="C316" t="s">
        <v>520</v>
      </c>
      <c r="D316" t="s">
        <v>25</v>
      </c>
      <c r="E316" t="s">
        <v>26</v>
      </c>
      <c r="F316" t="s">
        <v>51</v>
      </c>
      <c r="G316" t="s">
        <v>37</v>
      </c>
      <c r="H316">
        <v>1</v>
      </c>
      <c r="I316">
        <v>238.66</v>
      </c>
      <c r="J316">
        <v>0</v>
      </c>
      <c r="K316">
        <v>238.66</v>
      </c>
      <c r="L316">
        <v>150</v>
      </c>
      <c r="M316">
        <v>88.66</v>
      </c>
      <c r="N316" t="s">
        <v>21</v>
      </c>
      <c r="O316" t="s">
        <v>28</v>
      </c>
    </row>
    <row r="317" spans="1:15" x14ac:dyDescent="0.35">
      <c r="A317" t="s">
        <v>556</v>
      </c>
      <c r="B317" s="1">
        <v>45793</v>
      </c>
      <c r="C317" t="s">
        <v>195</v>
      </c>
      <c r="D317" t="s">
        <v>50</v>
      </c>
      <c r="E317" t="s">
        <v>32</v>
      </c>
      <c r="F317" t="s">
        <v>67</v>
      </c>
      <c r="G317" t="s">
        <v>37</v>
      </c>
      <c r="H317">
        <v>3</v>
      </c>
      <c r="I317">
        <v>79.5</v>
      </c>
      <c r="J317">
        <v>0.1</v>
      </c>
      <c r="K317">
        <v>214.65</v>
      </c>
      <c r="L317">
        <v>120</v>
      </c>
      <c r="M317">
        <v>94.65</v>
      </c>
      <c r="N317" t="s">
        <v>21</v>
      </c>
      <c r="O317" t="s">
        <v>28</v>
      </c>
    </row>
    <row r="318" spans="1:15" x14ac:dyDescent="0.35">
      <c r="A318" t="s">
        <v>557</v>
      </c>
      <c r="B318" s="1">
        <v>45917</v>
      </c>
      <c r="C318" t="s">
        <v>281</v>
      </c>
      <c r="D318" t="s">
        <v>31</v>
      </c>
      <c r="E318" t="s">
        <v>32</v>
      </c>
      <c r="F318" t="s">
        <v>51</v>
      </c>
      <c r="G318" t="s">
        <v>37</v>
      </c>
      <c r="H318">
        <v>1</v>
      </c>
      <c r="I318">
        <v>231.46</v>
      </c>
      <c r="J318">
        <v>0</v>
      </c>
      <c r="K318">
        <v>231.46</v>
      </c>
      <c r="L318">
        <v>150</v>
      </c>
      <c r="M318">
        <v>81.459999999999994</v>
      </c>
      <c r="N318" t="s">
        <v>38</v>
      </c>
      <c r="O318" t="s">
        <v>28</v>
      </c>
    </row>
    <row r="319" spans="1:15" x14ac:dyDescent="0.35">
      <c r="A319" t="s">
        <v>558</v>
      </c>
      <c r="B319" s="1">
        <v>45740</v>
      </c>
      <c r="C319" t="s">
        <v>30</v>
      </c>
      <c r="D319" t="s">
        <v>58</v>
      </c>
      <c r="E319" t="s">
        <v>18</v>
      </c>
      <c r="F319" t="s">
        <v>78</v>
      </c>
      <c r="G319" t="s">
        <v>20</v>
      </c>
      <c r="H319">
        <v>2</v>
      </c>
      <c r="I319">
        <v>329.9</v>
      </c>
      <c r="J319">
        <v>0</v>
      </c>
      <c r="K319">
        <v>659.8</v>
      </c>
      <c r="L319">
        <v>400</v>
      </c>
      <c r="M319">
        <v>259.8</v>
      </c>
      <c r="N319" t="s">
        <v>38</v>
      </c>
      <c r="O319" t="s">
        <v>28</v>
      </c>
    </row>
    <row r="320" spans="1:15" x14ac:dyDescent="0.35">
      <c r="A320" t="s">
        <v>559</v>
      </c>
      <c r="B320" s="1">
        <v>45670</v>
      </c>
      <c r="C320" t="s">
        <v>348</v>
      </c>
      <c r="D320" t="s">
        <v>25</v>
      </c>
      <c r="E320" t="s">
        <v>26</v>
      </c>
      <c r="F320" t="s">
        <v>51</v>
      </c>
      <c r="G320" t="s">
        <v>37</v>
      </c>
      <c r="H320">
        <v>1</v>
      </c>
      <c r="I320">
        <v>240.52</v>
      </c>
      <c r="J320">
        <v>0.1</v>
      </c>
      <c r="K320">
        <v>216.47</v>
      </c>
      <c r="L320">
        <v>150</v>
      </c>
      <c r="M320">
        <v>66.47</v>
      </c>
      <c r="N320" t="s">
        <v>47</v>
      </c>
      <c r="O320" t="s">
        <v>22</v>
      </c>
    </row>
    <row r="321" spans="1:15" x14ac:dyDescent="0.35">
      <c r="A321" t="s">
        <v>560</v>
      </c>
      <c r="B321" s="1">
        <v>45878</v>
      </c>
      <c r="C321" t="s">
        <v>121</v>
      </c>
      <c r="D321" t="s">
        <v>45</v>
      </c>
      <c r="E321" t="s">
        <v>46</v>
      </c>
      <c r="F321" t="s">
        <v>19</v>
      </c>
      <c r="G321" t="s">
        <v>20</v>
      </c>
      <c r="H321">
        <v>4</v>
      </c>
      <c r="I321">
        <v>269.08999999999997</v>
      </c>
      <c r="J321">
        <v>0.05</v>
      </c>
      <c r="K321">
        <v>1022.54</v>
      </c>
      <c r="L321">
        <v>680</v>
      </c>
      <c r="M321">
        <v>342.54</v>
      </c>
      <c r="N321" t="s">
        <v>21</v>
      </c>
      <c r="O321" t="s">
        <v>28</v>
      </c>
    </row>
    <row r="322" spans="1:15" x14ac:dyDescent="0.35">
      <c r="A322" t="s">
        <v>561</v>
      </c>
      <c r="B322" s="1">
        <v>45938</v>
      </c>
      <c r="C322" t="s">
        <v>302</v>
      </c>
      <c r="D322" t="s">
        <v>31</v>
      </c>
      <c r="E322" t="s">
        <v>32</v>
      </c>
      <c r="F322" t="s">
        <v>51</v>
      </c>
      <c r="G322" t="s">
        <v>37</v>
      </c>
      <c r="H322">
        <v>5</v>
      </c>
      <c r="I322">
        <v>242.02</v>
      </c>
      <c r="J322">
        <v>0.05</v>
      </c>
      <c r="K322">
        <v>1149.5999999999999</v>
      </c>
      <c r="L322">
        <v>750</v>
      </c>
      <c r="M322">
        <v>399.6</v>
      </c>
      <c r="N322" t="s">
        <v>47</v>
      </c>
      <c r="O322" t="s">
        <v>28</v>
      </c>
    </row>
    <row r="323" spans="1:15" x14ac:dyDescent="0.35">
      <c r="A323" t="s">
        <v>562</v>
      </c>
      <c r="B323" s="1">
        <v>45817</v>
      </c>
      <c r="C323" t="s">
        <v>354</v>
      </c>
      <c r="D323" t="s">
        <v>66</v>
      </c>
      <c r="E323" t="s">
        <v>61</v>
      </c>
      <c r="F323" t="s">
        <v>78</v>
      </c>
      <c r="G323" t="s">
        <v>20</v>
      </c>
      <c r="H323">
        <v>2</v>
      </c>
      <c r="I323">
        <v>321.56</v>
      </c>
      <c r="J323">
        <v>0</v>
      </c>
      <c r="K323">
        <v>643.12</v>
      </c>
      <c r="L323">
        <v>400</v>
      </c>
      <c r="M323">
        <v>243.12</v>
      </c>
      <c r="N323" t="s">
        <v>47</v>
      </c>
      <c r="O323" t="s">
        <v>28</v>
      </c>
    </row>
    <row r="324" spans="1:15" x14ac:dyDescent="0.35">
      <c r="A324" t="s">
        <v>563</v>
      </c>
      <c r="B324" s="1">
        <v>45716</v>
      </c>
      <c r="C324" t="s">
        <v>564</v>
      </c>
      <c r="D324" t="s">
        <v>45</v>
      </c>
      <c r="E324" t="s">
        <v>46</v>
      </c>
      <c r="F324" t="s">
        <v>27</v>
      </c>
      <c r="G324" t="s">
        <v>20</v>
      </c>
      <c r="H324">
        <v>1</v>
      </c>
      <c r="I324">
        <v>187.52</v>
      </c>
      <c r="J324">
        <v>0.05</v>
      </c>
      <c r="K324">
        <v>178.14</v>
      </c>
      <c r="L324">
        <v>110</v>
      </c>
      <c r="M324">
        <v>68.14</v>
      </c>
      <c r="N324" t="s">
        <v>47</v>
      </c>
      <c r="O324" t="s">
        <v>28</v>
      </c>
    </row>
    <row r="325" spans="1:15" x14ac:dyDescent="0.35">
      <c r="A325" t="s">
        <v>565</v>
      </c>
      <c r="B325" s="1">
        <v>45861</v>
      </c>
      <c r="C325" t="s">
        <v>367</v>
      </c>
      <c r="D325" t="s">
        <v>60</v>
      </c>
      <c r="E325" t="s">
        <v>61</v>
      </c>
      <c r="F325" t="s">
        <v>51</v>
      </c>
      <c r="G325" t="s">
        <v>37</v>
      </c>
      <c r="H325">
        <v>1</v>
      </c>
      <c r="I325">
        <v>252.43</v>
      </c>
      <c r="J325">
        <v>0</v>
      </c>
      <c r="K325">
        <v>252.43</v>
      </c>
      <c r="L325">
        <v>150</v>
      </c>
      <c r="M325">
        <v>102.43</v>
      </c>
      <c r="N325" t="s">
        <v>38</v>
      </c>
      <c r="O325" t="s">
        <v>28</v>
      </c>
    </row>
    <row r="326" spans="1:15" x14ac:dyDescent="0.35">
      <c r="A326" t="s">
        <v>566</v>
      </c>
      <c r="B326" s="1">
        <v>45963</v>
      </c>
      <c r="C326" t="s">
        <v>210</v>
      </c>
      <c r="D326" t="s">
        <v>25</v>
      </c>
      <c r="E326" t="s">
        <v>26</v>
      </c>
      <c r="F326" t="s">
        <v>41</v>
      </c>
      <c r="G326" t="s">
        <v>37</v>
      </c>
      <c r="H326">
        <v>2</v>
      </c>
      <c r="I326">
        <v>816.64</v>
      </c>
      <c r="J326">
        <v>0.15</v>
      </c>
      <c r="K326">
        <v>1388.29</v>
      </c>
      <c r="L326">
        <v>1200</v>
      </c>
      <c r="M326">
        <v>188.29</v>
      </c>
      <c r="N326" t="s">
        <v>21</v>
      </c>
      <c r="O326" t="s">
        <v>28</v>
      </c>
    </row>
    <row r="327" spans="1:15" x14ac:dyDescent="0.35">
      <c r="A327" t="s">
        <v>567</v>
      </c>
      <c r="B327" s="1">
        <v>45819</v>
      </c>
      <c r="C327" t="s">
        <v>568</v>
      </c>
      <c r="D327" t="s">
        <v>17</v>
      </c>
      <c r="E327" t="s">
        <v>18</v>
      </c>
      <c r="F327" t="s">
        <v>67</v>
      </c>
      <c r="G327" t="s">
        <v>37</v>
      </c>
      <c r="H327">
        <v>4</v>
      </c>
      <c r="I327">
        <v>75.48</v>
      </c>
      <c r="J327">
        <v>0.15</v>
      </c>
      <c r="K327">
        <v>256.63</v>
      </c>
      <c r="L327">
        <v>160</v>
      </c>
      <c r="M327">
        <v>96.63</v>
      </c>
      <c r="N327" t="s">
        <v>21</v>
      </c>
      <c r="O327" t="s">
        <v>22</v>
      </c>
    </row>
    <row r="328" spans="1:15" x14ac:dyDescent="0.35">
      <c r="A328" t="s">
        <v>569</v>
      </c>
      <c r="B328" s="1">
        <v>45843</v>
      </c>
      <c r="C328" t="s">
        <v>570</v>
      </c>
      <c r="D328" t="s">
        <v>45</v>
      </c>
      <c r="E328" t="s">
        <v>46</v>
      </c>
      <c r="F328" t="s">
        <v>108</v>
      </c>
      <c r="G328" t="s">
        <v>37</v>
      </c>
      <c r="H328">
        <v>3</v>
      </c>
      <c r="I328">
        <v>445.1</v>
      </c>
      <c r="J328">
        <v>0.15</v>
      </c>
      <c r="K328">
        <v>1135.01</v>
      </c>
      <c r="L328">
        <v>840</v>
      </c>
      <c r="M328">
        <v>295.01</v>
      </c>
      <c r="N328" t="s">
        <v>21</v>
      </c>
      <c r="O328" t="s">
        <v>42</v>
      </c>
    </row>
    <row r="329" spans="1:15" x14ac:dyDescent="0.35">
      <c r="A329" t="s">
        <v>571</v>
      </c>
      <c r="B329" s="1">
        <v>45670</v>
      </c>
      <c r="C329" t="s">
        <v>212</v>
      </c>
      <c r="D329" t="s">
        <v>50</v>
      </c>
      <c r="E329" t="s">
        <v>32</v>
      </c>
      <c r="F329" t="s">
        <v>41</v>
      </c>
      <c r="G329" t="s">
        <v>37</v>
      </c>
      <c r="H329">
        <v>1</v>
      </c>
      <c r="I329">
        <v>882.21</v>
      </c>
      <c r="J329">
        <v>0</v>
      </c>
      <c r="K329">
        <v>882.21</v>
      </c>
      <c r="L329">
        <v>600</v>
      </c>
      <c r="M329">
        <v>282.20999999999998</v>
      </c>
      <c r="N329" t="s">
        <v>47</v>
      </c>
      <c r="O329" t="s">
        <v>42</v>
      </c>
    </row>
    <row r="330" spans="1:15" x14ac:dyDescent="0.35">
      <c r="A330" t="s">
        <v>572</v>
      </c>
      <c r="B330" s="1">
        <v>45950</v>
      </c>
      <c r="C330" t="s">
        <v>73</v>
      </c>
      <c r="D330" t="s">
        <v>66</v>
      </c>
      <c r="E330" t="s">
        <v>61</v>
      </c>
      <c r="F330" t="s">
        <v>41</v>
      </c>
      <c r="G330" t="s">
        <v>37</v>
      </c>
      <c r="H330">
        <v>2</v>
      </c>
      <c r="I330">
        <v>862.79</v>
      </c>
      <c r="J330">
        <v>0.15</v>
      </c>
      <c r="K330">
        <v>1466.74</v>
      </c>
      <c r="L330">
        <v>1200</v>
      </c>
      <c r="M330">
        <v>266.74</v>
      </c>
      <c r="N330" t="s">
        <v>47</v>
      </c>
      <c r="O330" t="s">
        <v>28</v>
      </c>
    </row>
    <row r="331" spans="1:15" x14ac:dyDescent="0.35">
      <c r="A331" t="s">
        <v>573</v>
      </c>
      <c r="B331" s="1">
        <v>45884</v>
      </c>
      <c r="C331" t="s">
        <v>574</v>
      </c>
      <c r="D331" t="s">
        <v>17</v>
      </c>
      <c r="E331" t="s">
        <v>18</v>
      </c>
      <c r="F331" t="s">
        <v>41</v>
      </c>
      <c r="G331" t="s">
        <v>37</v>
      </c>
      <c r="H331">
        <v>1</v>
      </c>
      <c r="I331">
        <v>853.52</v>
      </c>
      <c r="J331">
        <v>0.1</v>
      </c>
      <c r="K331">
        <v>768.17</v>
      </c>
      <c r="L331">
        <v>600</v>
      </c>
      <c r="M331">
        <v>168.17</v>
      </c>
      <c r="N331" t="s">
        <v>33</v>
      </c>
      <c r="O331" t="s">
        <v>28</v>
      </c>
    </row>
    <row r="332" spans="1:15" x14ac:dyDescent="0.35">
      <c r="A332" t="s">
        <v>575</v>
      </c>
      <c r="B332" s="1">
        <v>45986</v>
      </c>
      <c r="C332" t="s">
        <v>281</v>
      </c>
      <c r="D332" t="s">
        <v>31</v>
      </c>
      <c r="E332" t="s">
        <v>32</v>
      </c>
      <c r="F332" t="s">
        <v>36</v>
      </c>
      <c r="G332" t="s">
        <v>37</v>
      </c>
      <c r="H332">
        <v>3</v>
      </c>
      <c r="I332">
        <v>126.42</v>
      </c>
      <c r="J332">
        <v>0.05</v>
      </c>
      <c r="K332">
        <v>360.3</v>
      </c>
      <c r="L332">
        <v>180</v>
      </c>
      <c r="M332">
        <v>180.3</v>
      </c>
      <c r="N332" t="s">
        <v>21</v>
      </c>
      <c r="O332" t="s">
        <v>28</v>
      </c>
    </row>
    <row r="333" spans="1:15" x14ac:dyDescent="0.35">
      <c r="A333" t="s">
        <v>576</v>
      </c>
      <c r="B333" s="1">
        <v>45920</v>
      </c>
      <c r="C333" t="s">
        <v>395</v>
      </c>
      <c r="D333" t="s">
        <v>17</v>
      </c>
      <c r="E333" t="s">
        <v>18</v>
      </c>
      <c r="F333" t="s">
        <v>108</v>
      </c>
      <c r="G333" t="s">
        <v>37</v>
      </c>
      <c r="H333">
        <v>3</v>
      </c>
      <c r="I333">
        <v>401.85</v>
      </c>
      <c r="J333">
        <v>0.2</v>
      </c>
      <c r="K333">
        <v>964.44</v>
      </c>
      <c r="L333">
        <v>840</v>
      </c>
      <c r="M333">
        <v>124.44</v>
      </c>
      <c r="N333" t="s">
        <v>21</v>
      </c>
      <c r="O333" t="s">
        <v>22</v>
      </c>
    </row>
    <row r="334" spans="1:15" x14ac:dyDescent="0.35">
      <c r="A334" t="s">
        <v>577</v>
      </c>
      <c r="B334" s="1">
        <v>45909</v>
      </c>
      <c r="C334" t="s">
        <v>131</v>
      </c>
      <c r="D334" t="s">
        <v>58</v>
      </c>
      <c r="E334" t="s">
        <v>18</v>
      </c>
      <c r="F334" t="s">
        <v>36</v>
      </c>
      <c r="G334" t="s">
        <v>37</v>
      </c>
      <c r="H334">
        <v>3</v>
      </c>
      <c r="I334">
        <v>126.2</v>
      </c>
      <c r="J334">
        <v>0.1</v>
      </c>
      <c r="K334">
        <v>340.74</v>
      </c>
      <c r="L334">
        <v>180</v>
      </c>
      <c r="M334">
        <v>160.74</v>
      </c>
      <c r="N334" t="s">
        <v>33</v>
      </c>
      <c r="O334" t="s">
        <v>28</v>
      </c>
    </row>
    <row r="335" spans="1:15" x14ac:dyDescent="0.35">
      <c r="A335" t="s">
        <v>578</v>
      </c>
      <c r="B335" s="1">
        <v>45822</v>
      </c>
      <c r="C335" t="s">
        <v>579</v>
      </c>
      <c r="D335" t="s">
        <v>31</v>
      </c>
      <c r="E335" t="s">
        <v>32</v>
      </c>
      <c r="F335" t="s">
        <v>27</v>
      </c>
      <c r="G335" t="s">
        <v>20</v>
      </c>
      <c r="H335">
        <v>4</v>
      </c>
      <c r="I335">
        <v>203.94</v>
      </c>
      <c r="J335">
        <v>0.1</v>
      </c>
      <c r="K335">
        <v>734.18</v>
      </c>
      <c r="L335">
        <v>440</v>
      </c>
      <c r="M335">
        <v>294.18</v>
      </c>
      <c r="N335" t="s">
        <v>38</v>
      </c>
      <c r="O335" t="s">
        <v>28</v>
      </c>
    </row>
    <row r="336" spans="1:15" x14ac:dyDescent="0.35">
      <c r="A336" t="s">
        <v>580</v>
      </c>
      <c r="B336" s="1">
        <v>45925</v>
      </c>
      <c r="C336" t="s">
        <v>581</v>
      </c>
      <c r="D336" t="s">
        <v>31</v>
      </c>
      <c r="E336" t="s">
        <v>32</v>
      </c>
      <c r="F336" t="s">
        <v>67</v>
      </c>
      <c r="G336" t="s">
        <v>37</v>
      </c>
      <c r="H336">
        <v>1</v>
      </c>
      <c r="I336">
        <v>80.64</v>
      </c>
      <c r="J336">
        <v>0.05</v>
      </c>
      <c r="K336">
        <v>76.61</v>
      </c>
      <c r="L336">
        <v>40</v>
      </c>
      <c r="M336">
        <v>36.61</v>
      </c>
      <c r="N336" t="s">
        <v>21</v>
      </c>
      <c r="O336" t="s">
        <v>42</v>
      </c>
    </row>
    <row r="337" spans="1:15" x14ac:dyDescent="0.35">
      <c r="A337" t="s">
        <v>582</v>
      </c>
      <c r="B337" s="1">
        <v>45832</v>
      </c>
      <c r="C337" t="s">
        <v>583</v>
      </c>
      <c r="D337" t="s">
        <v>60</v>
      </c>
      <c r="E337" t="s">
        <v>61</v>
      </c>
      <c r="F337" t="s">
        <v>27</v>
      </c>
      <c r="G337" t="s">
        <v>20</v>
      </c>
      <c r="H337">
        <v>1</v>
      </c>
      <c r="I337">
        <v>194.71</v>
      </c>
      <c r="J337">
        <v>0.1</v>
      </c>
      <c r="K337">
        <v>175.24</v>
      </c>
      <c r="L337">
        <v>110</v>
      </c>
      <c r="M337">
        <v>65.239999999999995</v>
      </c>
      <c r="N337" t="s">
        <v>47</v>
      </c>
      <c r="O337" t="s">
        <v>28</v>
      </c>
    </row>
    <row r="338" spans="1:15" x14ac:dyDescent="0.35">
      <c r="A338" t="s">
        <v>584</v>
      </c>
      <c r="B338" s="1">
        <v>45791</v>
      </c>
      <c r="C338" t="s">
        <v>585</v>
      </c>
      <c r="D338" t="s">
        <v>45</v>
      </c>
      <c r="E338" t="s">
        <v>46</v>
      </c>
      <c r="F338" t="s">
        <v>27</v>
      </c>
      <c r="G338" t="s">
        <v>20</v>
      </c>
      <c r="H338">
        <v>2</v>
      </c>
      <c r="I338">
        <v>198.75</v>
      </c>
      <c r="J338">
        <v>0</v>
      </c>
      <c r="K338">
        <v>397.5</v>
      </c>
      <c r="L338">
        <v>220</v>
      </c>
      <c r="M338">
        <v>177.5</v>
      </c>
      <c r="N338" t="s">
        <v>38</v>
      </c>
      <c r="O338" t="s">
        <v>42</v>
      </c>
    </row>
    <row r="339" spans="1:15" x14ac:dyDescent="0.35">
      <c r="A339" t="s">
        <v>586</v>
      </c>
      <c r="B339" s="1">
        <v>45865</v>
      </c>
      <c r="C339" t="s">
        <v>587</v>
      </c>
      <c r="D339" t="s">
        <v>58</v>
      </c>
      <c r="E339" t="s">
        <v>18</v>
      </c>
      <c r="F339" t="s">
        <v>19</v>
      </c>
      <c r="G339" t="s">
        <v>20</v>
      </c>
      <c r="H339">
        <v>3</v>
      </c>
      <c r="I339">
        <v>291.52999999999997</v>
      </c>
      <c r="J339">
        <v>0.2</v>
      </c>
      <c r="K339">
        <v>699.67</v>
      </c>
      <c r="L339">
        <v>510</v>
      </c>
      <c r="M339">
        <v>189.67</v>
      </c>
      <c r="N339" t="s">
        <v>38</v>
      </c>
      <c r="O339" t="s">
        <v>42</v>
      </c>
    </row>
    <row r="340" spans="1:15" x14ac:dyDescent="0.35">
      <c r="A340" t="s">
        <v>588</v>
      </c>
      <c r="B340" s="1">
        <v>45702</v>
      </c>
      <c r="C340" t="s">
        <v>589</v>
      </c>
      <c r="D340" t="s">
        <v>31</v>
      </c>
      <c r="E340" t="s">
        <v>32</v>
      </c>
      <c r="F340" t="s">
        <v>36</v>
      </c>
      <c r="G340" t="s">
        <v>37</v>
      </c>
      <c r="H340">
        <v>2</v>
      </c>
      <c r="I340">
        <v>117.56</v>
      </c>
      <c r="J340">
        <v>0</v>
      </c>
      <c r="K340">
        <v>235.12</v>
      </c>
      <c r="L340">
        <v>120</v>
      </c>
      <c r="M340">
        <v>115.12</v>
      </c>
      <c r="N340" t="s">
        <v>47</v>
      </c>
      <c r="O340" t="s">
        <v>42</v>
      </c>
    </row>
    <row r="341" spans="1:15" x14ac:dyDescent="0.35">
      <c r="A341" t="s">
        <v>590</v>
      </c>
      <c r="B341" s="1">
        <v>45875</v>
      </c>
      <c r="C341" t="s">
        <v>315</v>
      </c>
      <c r="D341" t="s">
        <v>17</v>
      </c>
      <c r="E341" t="s">
        <v>18</v>
      </c>
      <c r="F341" t="s">
        <v>108</v>
      </c>
      <c r="G341" t="s">
        <v>37</v>
      </c>
      <c r="H341">
        <v>6</v>
      </c>
      <c r="I341">
        <v>427.98</v>
      </c>
      <c r="J341">
        <v>0</v>
      </c>
      <c r="K341">
        <v>2567.88</v>
      </c>
      <c r="L341">
        <v>1680</v>
      </c>
      <c r="M341">
        <v>887.88</v>
      </c>
      <c r="N341" t="s">
        <v>38</v>
      </c>
      <c r="O341" t="s">
        <v>42</v>
      </c>
    </row>
    <row r="342" spans="1:15" x14ac:dyDescent="0.35">
      <c r="A342" t="s">
        <v>591</v>
      </c>
      <c r="B342" s="1">
        <v>45935</v>
      </c>
      <c r="C342" t="s">
        <v>583</v>
      </c>
      <c r="D342" t="s">
        <v>60</v>
      </c>
      <c r="E342" t="s">
        <v>61</v>
      </c>
      <c r="F342" t="s">
        <v>41</v>
      </c>
      <c r="G342" t="s">
        <v>37</v>
      </c>
      <c r="H342">
        <v>1</v>
      </c>
      <c r="I342">
        <v>823.06</v>
      </c>
      <c r="J342">
        <v>0</v>
      </c>
      <c r="K342">
        <v>823.06</v>
      </c>
      <c r="L342">
        <v>600</v>
      </c>
      <c r="M342">
        <v>223.06</v>
      </c>
      <c r="N342" t="s">
        <v>47</v>
      </c>
      <c r="O342" t="s">
        <v>28</v>
      </c>
    </row>
    <row r="343" spans="1:15" x14ac:dyDescent="0.35">
      <c r="A343" t="s">
        <v>592</v>
      </c>
      <c r="B343" s="1">
        <v>45838</v>
      </c>
      <c r="C343" t="s">
        <v>475</v>
      </c>
      <c r="D343" t="s">
        <v>25</v>
      </c>
      <c r="E343" t="s">
        <v>26</v>
      </c>
      <c r="F343" t="s">
        <v>27</v>
      </c>
      <c r="G343" t="s">
        <v>20</v>
      </c>
      <c r="H343">
        <v>5</v>
      </c>
      <c r="I343">
        <v>196.38</v>
      </c>
      <c r="J343">
        <v>0</v>
      </c>
      <c r="K343">
        <v>981.9</v>
      </c>
      <c r="L343">
        <v>550</v>
      </c>
      <c r="M343">
        <v>431.9</v>
      </c>
      <c r="N343" t="s">
        <v>33</v>
      </c>
      <c r="O343" t="s">
        <v>28</v>
      </c>
    </row>
    <row r="344" spans="1:15" x14ac:dyDescent="0.35">
      <c r="A344" t="s">
        <v>593</v>
      </c>
      <c r="B344" s="1">
        <v>45845</v>
      </c>
      <c r="C344" t="s">
        <v>238</v>
      </c>
      <c r="D344" t="s">
        <v>60</v>
      </c>
      <c r="E344" t="s">
        <v>61</v>
      </c>
      <c r="F344" t="s">
        <v>51</v>
      </c>
      <c r="G344" t="s">
        <v>37</v>
      </c>
      <c r="H344">
        <v>1</v>
      </c>
      <c r="I344">
        <v>249.53</v>
      </c>
      <c r="J344">
        <v>0.05</v>
      </c>
      <c r="K344">
        <v>237.05</v>
      </c>
      <c r="L344">
        <v>150</v>
      </c>
      <c r="M344">
        <v>87.05</v>
      </c>
      <c r="N344" t="s">
        <v>47</v>
      </c>
      <c r="O344" t="s">
        <v>28</v>
      </c>
    </row>
    <row r="345" spans="1:15" x14ac:dyDescent="0.35">
      <c r="A345" t="s">
        <v>594</v>
      </c>
      <c r="B345" s="1">
        <v>45905</v>
      </c>
      <c r="C345" t="s">
        <v>101</v>
      </c>
      <c r="D345" t="s">
        <v>31</v>
      </c>
      <c r="E345" t="s">
        <v>32</v>
      </c>
      <c r="F345" t="s">
        <v>41</v>
      </c>
      <c r="G345" t="s">
        <v>37</v>
      </c>
      <c r="H345">
        <v>6</v>
      </c>
      <c r="I345">
        <v>834.23</v>
      </c>
      <c r="J345">
        <v>0.05</v>
      </c>
      <c r="K345">
        <v>4755.1099999999997</v>
      </c>
      <c r="L345">
        <v>3600</v>
      </c>
      <c r="M345">
        <v>1155.1099999999999</v>
      </c>
      <c r="N345" t="s">
        <v>47</v>
      </c>
      <c r="O345" t="s">
        <v>22</v>
      </c>
    </row>
    <row r="346" spans="1:15" x14ac:dyDescent="0.35">
      <c r="A346" t="s">
        <v>595</v>
      </c>
      <c r="B346" s="1">
        <v>45867</v>
      </c>
      <c r="C346" t="s">
        <v>410</v>
      </c>
      <c r="D346" t="s">
        <v>31</v>
      </c>
      <c r="E346" t="s">
        <v>32</v>
      </c>
      <c r="F346" t="s">
        <v>108</v>
      </c>
      <c r="G346" t="s">
        <v>37</v>
      </c>
      <c r="H346">
        <v>1</v>
      </c>
      <c r="I346">
        <v>429.62</v>
      </c>
      <c r="J346">
        <v>0.05</v>
      </c>
      <c r="K346">
        <v>408.14</v>
      </c>
      <c r="L346">
        <v>280</v>
      </c>
      <c r="M346">
        <v>128.13999999999999</v>
      </c>
      <c r="N346" t="s">
        <v>47</v>
      </c>
      <c r="O346" t="s">
        <v>22</v>
      </c>
    </row>
    <row r="347" spans="1:15" x14ac:dyDescent="0.35">
      <c r="A347" t="s">
        <v>596</v>
      </c>
      <c r="B347" s="1">
        <v>45765</v>
      </c>
      <c r="C347" t="s">
        <v>151</v>
      </c>
      <c r="D347" t="s">
        <v>60</v>
      </c>
      <c r="E347" t="s">
        <v>61</v>
      </c>
      <c r="F347" t="s">
        <v>41</v>
      </c>
      <c r="G347" t="s">
        <v>37</v>
      </c>
      <c r="H347">
        <v>6</v>
      </c>
      <c r="I347">
        <v>901.84</v>
      </c>
      <c r="J347">
        <v>0.1</v>
      </c>
      <c r="K347">
        <v>4869.9399999999996</v>
      </c>
      <c r="L347">
        <v>3600</v>
      </c>
      <c r="M347">
        <v>1269.94</v>
      </c>
      <c r="N347" t="s">
        <v>21</v>
      </c>
      <c r="O347" t="s">
        <v>42</v>
      </c>
    </row>
    <row r="348" spans="1:15" x14ac:dyDescent="0.35">
      <c r="A348" t="s">
        <v>597</v>
      </c>
      <c r="B348" s="1">
        <v>45909</v>
      </c>
      <c r="C348" t="s">
        <v>444</v>
      </c>
      <c r="D348" t="s">
        <v>25</v>
      </c>
      <c r="E348" t="s">
        <v>26</v>
      </c>
      <c r="F348" t="s">
        <v>27</v>
      </c>
      <c r="G348" t="s">
        <v>20</v>
      </c>
      <c r="H348">
        <v>3</v>
      </c>
      <c r="I348">
        <v>194.57</v>
      </c>
      <c r="J348">
        <v>0.2</v>
      </c>
      <c r="K348">
        <v>466.97</v>
      </c>
      <c r="L348">
        <v>330</v>
      </c>
      <c r="M348">
        <v>136.97</v>
      </c>
      <c r="N348" t="s">
        <v>47</v>
      </c>
      <c r="O348" t="s">
        <v>42</v>
      </c>
    </row>
    <row r="349" spans="1:15" x14ac:dyDescent="0.35">
      <c r="A349" t="s">
        <v>598</v>
      </c>
      <c r="B349" s="1">
        <v>45968</v>
      </c>
      <c r="C349" t="s">
        <v>599</v>
      </c>
      <c r="D349" t="s">
        <v>31</v>
      </c>
      <c r="E349" t="s">
        <v>32</v>
      </c>
      <c r="F349" t="s">
        <v>78</v>
      </c>
      <c r="G349" t="s">
        <v>20</v>
      </c>
      <c r="H349">
        <v>1</v>
      </c>
      <c r="I349">
        <v>343.79</v>
      </c>
      <c r="J349">
        <v>0</v>
      </c>
      <c r="K349">
        <v>343.79</v>
      </c>
      <c r="L349">
        <v>200</v>
      </c>
      <c r="M349">
        <v>143.79</v>
      </c>
      <c r="N349" t="s">
        <v>33</v>
      </c>
      <c r="O349" t="s">
        <v>28</v>
      </c>
    </row>
    <row r="350" spans="1:15" x14ac:dyDescent="0.35">
      <c r="A350" t="s">
        <v>600</v>
      </c>
      <c r="B350" s="1">
        <v>45904</v>
      </c>
      <c r="C350" t="s">
        <v>601</v>
      </c>
      <c r="D350" t="s">
        <v>25</v>
      </c>
      <c r="E350" t="s">
        <v>26</v>
      </c>
      <c r="F350" t="s">
        <v>19</v>
      </c>
      <c r="G350" t="s">
        <v>20</v>
      </c>
      <c r="H350">
        <v>4</v>
      </c>
      <c r="I350">
        <v>272.33</v>
      </c>
      <c r="J350">
        <v>0.1</v>
      </c>
      <c r="K350">
        <v>980.39</v>
      </c>
      <c r="L350">
        <v>680</v>
      </c>
      <c r="M350">
        <v>300.39</v>
      </c>
      <c r="N350" t="s">
        <v>38</v>
      </c>
      <c r="O350" t="s">
        <v>28</v>
      </c>
    </row>
    <row r="351" spans="1:15" x14ac:dyDescent="0.35">
      <c r="A351" t="s">
        <v>602</v>
      </c>
      <c r="B351" s="1">
        <v>45745</v>
      </c>
      <c r="C351" t="s">
        <v>541</v>
      </c>
      <c r="D351" t="s">
        <v>66</v>
      </c>
      <c r="E351" t="s">
        <v>61</v>
      </c>
      <c r="F351" t="s">
        <v>78</v>
      </c>
      <c r="G351" t="s">
        <v>20</v>
      </c>
      <c r="H351">
        <v>4</v>
      </c>
      <c r="I351">
        <v>344.05</v>
      </c>
      <c r="J351">
        <v>0.05</v>
      </c>
      <c r="K351">
        <v>1307.3900000000001</v>
      </c>
      <c r="L351">
        <v>800</v>
      </c>
      <c r="M351">
        <v>507.39</v>
      </c>
      <c r="N351" t="s">
        <v>21</v>
      </c>
      <c r="O351" t="s">
        <v>42</v>
      </c>
    </row>
    <row r="352" spans="1:15" x14ac:dyDescent="0.35">
      <c r="A352" t="s">
        <v>603</v>
      </c>
      <c r="B352" s="1">
        <v>45912</v>
      </c>
      <c r="C352" t="s">
        <v>297</v>
      </c>
      <c r="D352" t="s">
        <v>58</v>
      </c>
      <c r="E352" t="s">
        <v>18</v>
      </c>
      <c r="F352" t="s">
        <v>19</v>
      </c>
      <c r="G352" t="s">
        <v>20</v>
      </c>
      <c r="H352">
        <v>1</v>
      </c>
      <c r="I352">
        <v>291.57</v>
      </c>
      <c r="J352">
        <v>0</v>
      </c>
      <c r="K352">
        <v>291.57</v>
      </c>
      <c r="L352">
        <v>170</v>
      </c>
      <c r="M352">
        <v>121.57</v>
      </c>
      <c r="N352" t="s">
        <v>21</v>
      </c>
      <c r="O352" t="s">
        <v>28</v>
      </c>
    </row>
    <row r="353" spans="1:15" x14ac:dyDescent="0.35">
      <c r="A353" t="s">
        <v>604</v>
      </c>
      <c r="B353" s="1">
        <v>46006</v>
      </c>
      <c r="C353" t="s">
        <v>133</v>
      </c>
      <c r="D353" t="s">
        <v>58</v>
      </c>
      <c r="E353" t="s">
        <v>18</v>
      </c>
      <c r="F353" t="s">
        <v>67</v>
      </c>
      <c r="G353" t="s">
        <v>37</v>
      </c>
      <c r="H353">
        <v>3</v>
      </c>
      <c r="I353">
        <v>74.069999999999993</v>
      </c>
      <c r="J353">
        <v>0</v>
      </c>
      <c r="K353">
        <v>222.21</v>
      </c>
      <c r="L353">
        <v>120</v>
      </c>
      <c r="M353">
        <v>102.21</v>
      </c>
      <c r="N353" t="s">
        <v>47</v>
      </c>
      <c r="O353" t="s">
        <v>28</v>
      </c>
    </row>
    <row r="354" spans="1:15" x14ac:dyDescent="0.35">
      <c r="A354" t="s">
        <v>605</v>
      </c>
      <c r="B354" s="1">
        <v>45984</v>
      </c>
      <c r="C354" t="s">
        <v>240</v>
      </c>
      <c r="D354" t="s">
        <v>60</v>
      </c>
      <c r="E354" t="s">
        <v>61</v>
      </c>
      <c r="F354" t="s">
        <v>36</v>
      </c>
      <c r="G354" t="s">
        <v>37</v>
      </c>
      <c r="H354">
        <v>2</v>
      </c>
      <c r="I354">
        <v>128.33000000000001</v>
      </c>
      <c r="J354">
        <v>0.1</v>
      </c>
      <c r="K354">
        <v>230.99</v>
      </c>
      <c r="L354">
        <v>120</v>
      </c>
      <c r="M354">
        <v>110.99</v>
      </c>
      <c r="N354" t="s">
        <v>47</v>
      </c>
      <c r="O354" t="s">
        <v>28</v>
      </c>
    </row>
    <row r="355" spans="1:15" x14ac:dyDescent="0.35">
      <c r="A355" t="s">
        <v>606</v>
      </c>
      <c r="B355" s="1">
        <v>45931</v>
      </c>
      <c r="C355" t="s">
        <v>164</v>
      </c>
      <c r="D355" t="s">
        <v>50</v>
      </c>
      <c r="E355" t="s">
        <v>32</v>
      </c>
      <c r="F355" t="s">
        <v>67</v>
      </c>
      <c r="G355" t="s">
        <v>37</v>
      </c>
      <c r="H355">
        <v>2</v>
      </c>
      <c r="I355">
        <v>75.3</v>
      </c>
      <c r="J355">
        <v>0.05</v>
      </c>
      <c r="K355">
        <v>143.07</v>
      </c>
      <c r="L355">
        <v>80</v>
      </c>
      <c r="M355">
        <v>63.07</v>
      </c>
      <c r="N355" t="s">
        <v>33</v>
      </c>
      <c r="O355" t="s">
        <v>22</v>
      </c>
    </row>
    <row r="356" spans="1:15" x14ac:dyDescent="0.35">
      <c r="A356" t="s">
        <v>607</v>
      </c>
      <c r="B356" s="1">
        <v>45773</v>
      </c>
      <c r="C356" t="s">
        <v>475</v>
      </c>
      <c r="D356" t="s">
        <v>45</v>
      </c>
      <c r="E356" t="s">
        <v>46</v>
      </c>
      <c r="F356" t="s">
        <v>108</v>
      </c>
      <c r="G356" t="s">
        <v>37</v>
      </c>
      <c r="H356">
        <v>4</v>
      </c>
      <c r="I356">
        <v>411.49</v>
      </c>
      <c r="J356">
        <v>0.1</v>
      </c>
      <c r="K356">
        <v>1481.36</v>
      </c>
      <c r="L356">
        <v>1120</v>
      </c>
      <c r="M356">
        <v>361.36</v>
      </c>
      <c r="N356" t="s">
        <v>21</v>
      </c>
      <c r="O356" t="s">
        <v>42</v>
      </c>
    </row>
    <row r="357" spans="1:15" x14ac:dyDescent="0.35">
      <c r="A357" t="s">
        <v>608</v>
      </c>
      <c r="B357" s="1">
        <v>45878</v>
      </c>
      <c r="C357" t="s">
        <v>80</v>
      </c>
      <c r="D357" t="s">
        <v>17</v>
      </c>
      <c r="E357" t="s">
        <v>18</v>
      </c>
      <c r="F357" t="s">
        <v>19</v>
      </c>
      <c r="G357" t="s">
        <v>20</v>
      </c>
      <c r="H357">
        <v>3</v>
      </c>
      <c r="I357">
        <v>276.52999999999997</v>
      </c>
      <c r="J357">
        <v>0.05</v>
      </c>
      <c r="K357">
        <v>788.11</v>
      </c>
      <c r="L357">
        <v>510</v>
      </c>
      <c r="M357">
        <v>278.11</v>
      </c>
      <c r="N357" t="s">
        <v>33</v>
      </c>
      <c r="O357" t="s">
        <v>28</v>
      </c>
    </row>
    <row r="358" spans="1:15" x14ac:dyDescent="0.35">
      <c r="A358" t="s">
        <v>609</v>
      </c>
      <c r="B358" s="1">
        <v>45856</v>
      </c>
      <c r="C358" t="s">
        <v>610</v>
      </c>
      <c r="D358" t="s">
        <v>45</v>
      </c>
      <c r="E358" t="s">
        <v>46</v>
      </c>
      <c r="F358" t="s">
        <v>51</v>
      </c>
      <c r="G358" t="s">
        <v>37</v>
      </c>
      <c r="H358">
        <v>5</v>
      </c>
      <c r="I358">
        <v>241.09</v>
      </c>
      <c r="J358">
        <v>0.15</v>
      </c>
      <c r="K358">
        <v>1024.6300000000001</v>
      </c>
      <c r="L358">
        <v>750</v>
      </c>
      <c r="M358">
        <v>274.63</v>
      </c>
      <c r="N358" t="s">
        <v>47</v>
      </c>
      <c r="O358" t="s">
        <v>28</v>
      </c>
    </row>
    <row r="359" spans="1:15" x14ac:dyDescent="0.35">
      <c r="A359" t="s">
        <v>611</v>
      </c>
      <c r="B359" s="1">
        <v>45773</v>
      </c>
      <c r="C359" t="s">
        <v>466</v>
      </c>
      <c r="D359" t="s">
        <v>50</v>
      </c>
      <c r="E359" t="s">
        <v>32</v>
      </c>
      <c r="F359" t="s">
        <v>19</v>
      </c>
      <c r="G359" t="s">
        <v>20</v>
      </c>
      <c r="H359">
        <v>1</v>
      </c>
      <c r="I359">
        <v>282.48</v>
      </c>
      <c r="J359">
        <v>0</v>
      </c>
      <c r="K359">
        <v>282.48</v>
      </c>
      <c r="L359">
        <v>170</v>
      </c>
      <c r="M359">
        <v>112.48</v>
      </c>
      <c r="N359" t="s">
        <v>38</v>
      </c>
      <c r="O359" t="s">
        <v>28</v>
      </c>
    </row>
    <row r="360" spans="1:15" x14ac:dyDescent="0.35">
      <c r="A360" t="s">
        <v>612</v>
      </c>
      <c r="B360" s="1">
        <v>45928</v>
      </c>
      <c r="C360" t="s">
        <v>369</v>
      </c>
      <c r="D360" t="s">
        <v>58</v>
      </c>
      <c r="E360" t="s">
        <v>18</v>
      </c>
      <c r="F360" t="s">
        <v>19</v>
      </c>
      <c r="G360" t="s">
        <v>20</v>
      </c>
      <c r="H360">
        <v>2</v>
      </c>
      <c r="I360">
        <v>290.81</v>
      </c>
      <c r="J360">
        <v>0</v>
      </c>
      <c r="K360">
        <v>581.62</v>
      </c>
      <c r="L360">
        <v>340</v>
      </c>
      <c r="M360">
        <v>241.62</v>
      </c>
      <c r="N360" t="s">
        <v>38</v>
      </c>
      <c r="O360" t="s">
        <v>28</v>
      </c>
    </row>
    <row r="361" spans="1:15" x14ac:dyDescent="0.35">
      <c r="A361" t="s">
        <v>613</v>
      </c>
      <c r="B361" s="1">
        <v>45661</v>
      </c>
      <c r="C361" t="s">
        <v>121</v>
      </c>
      <c r="D361" t="s">
        <v>58</v>
      </c>
      <c r="E361" t="s">
        <v>18</v>
      </c>
      <c r="F361" t="s">
        <v>108</v>
      </c>
      <c r="G361" t="s">
        <v>37</v>
      </c>
      <c r="H361">
        <v>4</v>
      </c>
      <c r="I361">
        <v>414.42</v>
      </c>
      <c r="J361">
        <v>0.05</v>
      </c>
      <c r="K361">
        <v>1574.8</v>
      </c>
      <c r="L361">
        <v>1120</v>
      </c>
      <c r="M361">
        <v>454.8</v>
      </c>
      <c r="N361" t="s">
        <v>47</v>
      </c>
      <c r="O361" t="s">
        <v>28</v>
      </c>
    </row>
    <row r="362" spans="1:15" x14ac:dyDescent="0.35">
      <c r="A362" t="s">
        <v>614</v>
      </c>
      <c r="B362" s="1">
        <v>45826</v>
      </c>
      <c r="C362" t="s">
        <v>615</v>
      </c>
      <c r="D362" t="s">
        <v>60</v>
      </c>
      <c r="E362" t="s">
        <v>61</v>
      </c>
      <c r="F362" t="s">
        <v>19</v>
      </c>
      <c r="G362" t="s">
        <v>20</v>
      </c>
      <c r="H362">
        <v>2</v>
      </c>
      <c r="I362">
        <v>263.2</v>
      </c>
      <c r="J362">
        <v>0.05</v>
      </c>
      <c r="K362">
        <v>500.08</v>
      </c>
      <c r="L362">
        <v>340</v>
      </c>
      <c r="M362">
        <v>160.08000000000001</v>
      </c>
      <c r="N362" t="s">
        <v>21</v>
      </c>
      <c r="O362" t="s">
        <v>28</v>
      </c>
    </row>
    <row r="363" spans="1:15" x14ac:dyDescent="0.35">
      <c r="A363" t="s">
        <v>616</v>
      </c>
      <c r="B363" s="1">
        <v>45974</v>
      </c>
      <c r="C363" t="s">
        <v>151</v>
      </c>
      <c r="D363" t="s">
        <v>17</v>
      </c>
      <c r="E363" t="s">
        <v>18</v>
      </c>
      <c r="F363" t="s">
        <v>36</v>
      </c>
      <c r="G363" t="s">
        <v>37</v>
      </c>
      <c r="H363">
        <v>5</v>
      </c>
      <c r="I363">
        <v>116.98</v>
      </c>
      <c r="J363">
        <v>0</v>
      </c>
      <c r="K363">
        <v>584.9</v>
      </c>
      <c r="L363">
        <v>300</v>
      </c>
      <c r="M363">
        <v>284.89999999999998</v>
      </c>
      <c r="N363" t="s">
        <v>38</v>
      </c>
      <c r="O363" t="s">
        <v>42</v>
      </c>
    </row>
    <row r="364" spans="1:15" x14ac:dyDescent="0.35">
      <c r="A364" t="s">
        <v>617</v>
      </c>
      <c r="B364" s="1">
        <v>45826</v>
      </c>
      <c r="C364" t="s">
        <v>618</v>
      </c>
      <c r="D364" t="s">
        <v>50</v>
      </c>
      <c r="E364" t="s">
        <v>32</v>
      </c>
      <c r="F364" t="s">
        <v>19</v>
      </c>
      <c r="G364" t="s">
        <v>20</v>
      </c>
      <c r="H364">
        <v>2</v>
      </c>
      <c r="I364">
        <v>272.88</v>
      </c>
      <c r="J364">
        <v>0</v>
      </c>
      <c r="K364">
        <v>545.76</v>
      </c>
      <c r="L364">
        <v>340</v>
      </c>
      <c r="M364">
        <v>205.76</v>
      </c>
      <c r="N364" t="s">
        <v>21</v>
      </c>
      <c r="O364" t="s">
        <v>28</v>
      </c>
    </row>
    <row r="365" spans="1:15" x14ac:dyDescent="0.35">
      <c r="A365" t="s">
        <v>619</v>
      </c>
      <c r="B365" s="1">
        <v>45704</v>
      </c>
      <c r="C365" t="s">
        <v>107</v>
      </c>
      <c r="D365" t="s">
        <v>31</v>
      </c>
      <c r="E365" t="s">
        <v>32</v>
      </c>
      <c r="F365" t="s">
        <v>67</v>
      </c>
      <c r="G365" t="s">
        <v>37</v>
      </c>
      <c r="H365">
        <v>6</v>
      </c>
      <c r="I365">
        <v>75.08</v>
      </c>
      <c r="J365">
        <v>0.1</v>
      </c>
      <c r="K365">
        <v>405.43</v>
      </c>
      <c r="L365">
        <v>240</v>
      </c>
      <c r="M365">
        <v>165.43</v>
      </c>
      <c r="N365" t="s">
        <v>47</v>
      </c>
      <c r="O365" t="s">
        <v>28</v>
      </c>
    </row>
    <row r="366" spans="1:15" x14ac:dyDescent="0.35">
      <c r="A366" t="s">
        <v>620</v>
      </c>
      <c r="B366" s="1">
        <v>45859</v>
      </c>
      <c r="C366" t="s">
        <v>621</v>
      </c>
      <c r="D366" t="s">
        <v>25</v>
      </c>
      <c r="E366" t="s">
        <v>26</v>
      </c>
      <c r="F366" t="s">
        <v>36</v>
      </c>
      <c r="G366" t="s">
        <v>37</v>
      </c>
      <c r="H366">
        <v>1</v>
      </c>
      <c r="I366">
        <v>118.19</v>
      </c>
      <c r="J366">
        <v>0.05</v>
      </c>
      <c r="K366">
        <v>112.28</v>
      </c>
      <c r="L366">
        <v>60</v>
      </c>
      <c r="M366">
        <v>52.28</v>
      </c>
      <c r="N366" t="s">
        <v>21</v>
      </c>
      <c r="O366" t="s">
        <v>42</v>
      </c>
    </row>
    <row r="367" spans="1:15" x14ac:dyDescent="0.35">
      <c r="A367" t="s">
        <v>622</v>
      </c>
      <c r="B367" s="1">
        <v>45768</v>
      </c>
      <c r="C367" t="s">
        <v>392</v>
      </c>
      <c r="D367" t="s">
        <v>60</v>
      </c>
      <c r="E367" t="s">
        <v>61</v>
      </c>
      <c r="F367" t="s">
        <v>36</v>
      </c>
      <c r="G367" t="s">
        <v>37</v>
      </c>
      <c r="H367">
        <v>4</v>
      </c>
      <c r="I367">
        <v>122.02</v>
      </c>
      <c r="J367">
        <v>0</v>
      </c>
      <c r="K367">
        <v>488.08</v>
      </c>
      <c r="L367">
        <v>240</v>
      </c>
      <c r="M367">
        <v>248.08</v>
      </c>
      <c r="N367" t="s">
        <v>33</v>
      </c>
      <c r="O367" t="s">
        <v>28</v>
      </c>
    </row>
    <row r="368" spans="1:15" x14ac:dyDescent="0.35">
      <c r="A368" t="s">
        <v>623</v>
      </c>
      <c r="B368" s="1">
        <v>45851</v>
      </c>
      <c r="C368" t="s">
        <v>624</v>
      </c>
      <c r="D368" t="s">
        <v>25</v>
      </c>
      <c r="E368" t="s">
        <v>26</v>
      </c>
      <c r="F368" t="s">
        <v>51</v>
      </c>
      <c r="G368" t="s">
        <v>37</v>
      </c>
      <c r="H368">
        <v>3</v>
      </c>
      <c r="I368">
        <v>256.74</v>
      </c>
      <c r="J368">
        <v>0.05</v>
      </c>
      <c r="K368">
        <v>731.71</v>
      </c>
      <c r="L368">
        <v>450</v>
      </c>
      <c r="M368">
        <v>281.70999999999998</v>
      </c>
      <c r="N368" t="s">
        <v>33</v>
      </c>
      <c r="O368" t="s">
        <v>28</v>
      </c>
    </row>
    <row r="369" spans="1:15" x14ac:dyDescent="0.35">
      <c r="A369" t="s">
        <v>625</v>
      </c>
      <c r="B369" s="1">
        <v>45908</v>
      </c>
      <c r="C369" t="s">
        <v>626</v>
      </c>
      <c r="D369" t="s">
        <v>60</v>
      </c>
      <c r="E369" t="s">
        <v>61</v>
      </c>
      <c r="F369" t="s">
        <v>19</v>
      </c>
      <c r="G369" t="s">
        <v>20</v>
      </c>
      <c r="H369">
        <v>1</v>
      </c>
      <c r="I369">
        <v>285.02999999999997</v>
      </c>
      <c r="J369">
        <v>0</v>
      </c>
      <c r="K369">
        <v>285.02999999999997</v>
      </c>
      <c r="L369">
        <v>170</v>
      </c>
      <c r="M369">
        <v>115.03</v>
      </c>
      <c r="N369" t="s">
        <v>38</v>
      </c>
      <c r="O369" t="s">
        <v>42</v>
      </c>
    </row>
    <row r="370" spans="1:15" x14ac:dyDescent="0.35">
      <c r="A370" t="s">
        <v>627</v>
      </c>
      <c r="B370" s="1">
        <v>45832</v>
      </c>
      <c r="C370" t="s">
        <v>383</v>
      </c>
      <c r="D370" t="s">
        <v>50</v>
      </c>
      <c r="E370" t="s">
        <v>32</v>
      </c>
      <c r="F370" t="s">
        <v>51</v>
      </c>
      <c r="G370" t="s">
        <v>37</v>
      </c>
      <c r="H370">
        <v>2</v>
      </c>
      <c r="I370">
        <v>243.05</v>
      </c>
      <c r="J370">
        <v>0</v>
      </c>
      <c r="K370">
        <v>486.1</v>
      </c>
      <c r="L370">
        <v>300</v>
      </c>
      <c r="M370">
        <v>186.1</v>
      </c>
      <c r="N370" t="s">
        <v>47</v>
      </c>
      <c r="O370" t="s">
        <v>28</v>
      </c>
    </row>
    <row r="371" spans="1:15" x14ac:dyDescent="0.35">
      <c r="A371" t="s">
        <v>628</v>
      </c>
      <c r="B371" s="1">
        <v>45735</v>
      </c>
      <c r="C371" t="s">
        <v>69</v>
      </c>
      <c r="D371" t="s">
        <v>66</v>
      </c>
      <c r="E371" t="s">
        <v>61</v>
      </c>
      <c r="F371" t="s">
        <v>41</v>
      </c>
      <c r="G371" t="s">
        <v>37</v>
      </c>
      <c r="H371">
        <v>6</v>
      </c>
      <c r="I371">
        <v>833.46</v>
      </c>
      <c r="J371">
        <v>0</v>
      </c>
      <c r="K371">
        <v>5000.76</v>
      </c>
      <c r="L371">
        <v>3600</v>
      </c>
      <c r="M371">
        <v>1400.76</v>
      </c>
      <c r="N371" t="s">
        <v>47</v>
      </c>
      <c r="O371" t="s">
        <v>22</v>
      </c>
    </row>
    <row r="372" spans="1:15" x14ac:dyDescent="0.35">
      <c r="A372" t="s">
        <v>629</v>
      </c>
      <c r="B372" s="1">
        <v>45996</v>
      </c>
      <c r="C372" t="s">
        <v>630</v>
      </c>
      <c r="D372" t="s">
        <v>50</v>
      </c>
      <c r="E372" t="s">
        <v>32</v>
      </c>
      <c r="F372" t="s">
        <v>41</v>
      </c>
      <c r="G372" t="s">
        <v>37</v>
      </c>
      <c r="H372">
        <v>2</v>
      </c>
      <c r="I372">
        <v>820.59</v>
      </c>
      <c r="J372">
        <v>0.05</v>
      </c>
      <c r="K372">
        <v>1559.12</v>
      </c>
      <c r="L372">
        <v>1200</v>
      </c>
      <c r="M372">
        <v>359.12</v>
      </c>
      <c r="N372" t="s">
        <v>47</v>
      </c>
      <c r="O372" t="s">
        <v>28</v>
      </c>
    </row>
    <row r="373" spans="1:15" x14ac:dyDescent="0.35">
      <c r="A373" t="s">
        <v>631</v>
      </c>
      <c r="B373" s="1">
        <v>45700</v>
      </c>
      <c r="C373" t="s">
        <v>632</v>
      </c>
      <c r="D373" t="s">
        <v>66</v>
      </c>
      <c r="E373" t="s">
        <v>61</v>
      </c>
      <c r="F373" t="s">
        <v>41</v>
      </c>
      <c r="G373" t="s">
        <v>37</v>
      </c>
      <c r="H373">
        <v>1</v>
      </c>
      <c r="I373">
        <v>839.55</v>
      </c>
      <c r="J373">
        <v>0</v>
      </c>
      <c r="K373">
        <v>839.55</v>
      </c>
      <c r="L373">
        <v>600</v>
      </c>
      <c r="M373">
        <v>239.55</v>
      </c>
      <c r="N373" t="s">
        <v>38</v>
      </c>
      <c r="O373" t="s">
        <v>28</v>
      </c>
    </row>
    <row r="374" spans="1:15" x14ac:dyDescent="0.35">
      <c r="A374" t="s">
        <v>633</v>
      </c>
      <c r="B374" s="1">
        <v>45771</v>
      </c>
      <c r="C374" t="s">
        <v>475</v>
      </c>
      <c r="D374" t="s">
        <v>25</v>
      </c>
      <c r="E374" t="s">
        <v>26</v>
      </c>
      <c r="F374" t="s">
        <v>51</v>
      </c>
      <c r="G374" t="s">
        <v>37</v>
      </c>
      <c r="H374">
        <v>5</v>
      </c>
      <c r="I374">
        <v>249.03</v>
      </c>
      <c r="J374">
        <v>0</v>
      </c>
      <c r="K374">
        <v>1245.1500000000001</v>
      </c>
      <c r="L374">
        <v>750</v>
      </c>
      <c r="M374">
        <v>495.15</v>
      </c>
      <c r="N374" t="s">
        <v>21</v>
      </c>
      <c r="O374" t="s">
        <v>28</v>
      </c>
    </row>
    <row r="375" spans="1:15" x14ac:dyDescent="0.35">
      <c r="A375" t="s">
        <v>634</v>
      </c>
      <c r="B375" s="1">
        <v>45940</v>
      </c>
      <c r="C375" t="s">
        <v>635</v>
      </c>
      <c r="D375" t="s">
        <v>17</v>
      </c>
      <c r="E375" t="s">
        <v>18</v>
      </c>
      <c r="F375" t="s">
        <v>41</v>
      </c>
      <c r="G375" t="s">
        <v>37</v>
      </c>
      <c r="H375">
        <v>5</v>
      </c>
      <c r="I375">
        <v>904.52</v>
      </c>
      <c r="J375">
        <v>0</v>
      </c>
      <c r="K375">
        <v>4522.6000000000004</v>
      </c>
      <c r="L375">
        <v>3000</v>
      </c>
      <c r="M375">
        <v>1522.6</v>
      </c>
      <c r="N375" t="s">
        <v>21</v>
      </c>
      <c r="O375" t="s">
        <v>28</v>
      </c>
    </row>
    <row r="376" spans="1:15" x14ac:dyDescent="0.35">
      <c r="A376" t="s">
        <v>636</v>
      </c>
      <c r="B376" s="1">
        <v>45707</v>
      </c>
      <c r="C376" t="s">
        <v>172</v>
      </c>
      <c r="D376" t="s">
        <v>25</v>
      </c>
      <c r="E376" t="s">
        <v>26</v>
      </c>
      <c r="F376" t="s">
        <v>41</v>
      </c>
      <c r="G376" t="s">
        <v>37</v>
      </c>
      <c r="H376">
        <v>3</v>
      </c>
      <c r="I376">
        <v>813.75</v>
      </c>
      <c r="J376">
        <v>0</v>
      </c>
      <c r="K376">
        <v>2441.25</v>
      </c>
      <c r="L376">
        <v>1800</v>
      </c>
      <c r="M376">
        <v>641.25</v>
      </c>
      <c r="N376" t="s">
        <v>33</v>
      </c>
      <c r="O376" t="s">
        <v>42</v>
      </c>
    </row>
    <row r="377" spans="1:15" x14ac:dyDescent="0.35">
      <c r="A377" t="s">
        <v>637</v>
      </c>
      <c r="B377" s="1">
        <v>45839</v>
      </c>
      <c r="C377" t="s">
        <v>65</v>
      </c>
      <c r="D377" t="s">
        <v>45</v>
      </c>
      <c r="E377" t="s">
        <v>46</v>
      </c>
      <c r="F377" t="s">
        <v>51</v>
      </c>
      <c r="G377" t="s">
        <v>37</v>
      </c>
      <c r="H377">
        <v>1</v>
      </c>
      <c r="I377">
        <v>252.5</v>
      </c>
      <c r="J377">
        <v>0.1</v>
      </c>
      <c r="K377">
        <v>227.25</v>
      </c>
      <c r="L377">
        <v>150</v>
      </c>
      <c r="M377">
        <v>77.25</v>
      </c>
      <c r="N377" t="s">
        <v>21</v>
      </c>
      <c r="O377" t="s">
        <v>22</v>
      </c>
    </row>
    <row r="378" spans="1:15" x14ac:dyDescent="0.35">
      <c r="A378" t="s">
        <v>638</v>
      </c>
      <c r="B378" s="1">
        <v>46018</v>
      </c>
      <c r="C378" t="s">
        <v>516</v>
      </c>
      <c r="D378" t="s">
        <v>60</v>
      </c>
      <c r="E378" t="s">
        <v>61</v>
      </c>
      <c r="F378" t="s">
        <v>27</v>
      </c>
      <c r="G378" t="s">
        <v>20</v>
      </c>
      <c r="H378">
        <v>1</v>
      </c>
      <c r="I378">
        <v>184.93</v>
      </c>
      <c r="J378">
        <v>0.05</v>
      </c>
      <c r="K378">
        <v>175.68</v>
      </c>
      <c r="L378">
        <v>110</v>
      </c>
      <c r="M378">
        <v>65.680000000000007</v>
      </c>
      <c r="N378" t="s">
        <v>21</v>
      </c>
      <c r="O378" t="s">
        <v>28</v>
      </c>
    </row>
    <row r="379" spans="1:15" x14ac:dyDescent="0.35">
      <c r="A379" t="s">
        <v>639</v>
      </c>
      <c r="B379" s="1">
        <v>45739</v>
      </c>
      <c r="C379" t="s">
        <v>640</v>
      </c>
      <c r="D379" t="s">
        <v>66</v>
      </c>
      <c r="E379" t="s">
        <v>61</v>
      </c>
      <c r="F379" t="s">
        <v>67</v>
      </c>
      <c r="G379" t="s">
        <v>37</v>
      </c>
      <c r="H379">
        <v>2</v>
      </c>
      <c r="I379">
        <v>75.13</v>
      </c>
      <c r="J379">
        <v>0</v>
      </c>
      <c r="K379">
        <v>150.26</v>
      </c>
      <c r="L379">
        <v>80</v>
      </c>
      <c r="M379">
        <v>70.260000000000005</v>
      </c>
      <c r="N379" t="s">
        <v>47</v>
      </c>
      <c r="O379" t="s">
        <v>42</v>
      </c>
    </row>
    <row r="380" spans="1:15" x14ac:dyDescent="0.35">
      <c r="A380" t="s">
        <v>641</v>
      </c>
      <c r="B380" s="1">
        <v>45659</v>
      </c>
      <c r="C380" t="s">
        <v>642</v>
      </c>
      <c r="D380" t="s">
        <v>17</v>
      </c>
      <c r="E380" t="s">
        <v>18</v>
      </c>
      <c r="F380" t="s">
        <v>27</v>
      </c>
      <c r="G380" t="s">
        <v>20</v>
      </c>
      <c r="H380">
        <v>3</v>
      </c>
      <c r="I380">
        <v>195.41</v>
      </c>
      <c r="J380">
        <v>0.15</v>
      </c>
      <c r="K380">
        <v>498.3</v>
      </c>
      <c r="L380">
        <v>330</v>
      </c>
      <c r="M380">
        <v>168.3</v>
      </c>
      <c r="N380" t="s">
        <v>21</v>
      </c>
      <c r="O380" t="s">
        <v>22</v>
      </c>
    </row>
    <row r="381" spans="1:15" x14ac:dyDescent="0.35">
      <c r="A381" t="s">
        <v>643</v>
      </c>
      <c r="B381" s="1">
        <v>45698</v>
      </c>
      <c r="C381" t="s">
        <v>177</v>
      </c>
      <c r="D381" t="s">
        <v>31</v>
      </c>
      <c r="E381" t="s">
        <v>32</v>
      </c>
      <c r="F381" t="s">
        <v>67</v>
      </c>
      <c r="G381" t="s">
        <v>37</v>
      </c>
      <c r="H381">
        <v>3</v>
      </c>
      <c r="I381">
        <v>77.569999999999993</v>
      </c>
      <c r="J381">
        <v>0.05</v>
      </c>
      <c r="K381">
        <v>221.07</v>
      </c>
      <c r="L381">
        <v>120</v>
      </c>
      <c r="M381">
        <v>101.07</v>
      </c>
      <c r="N381" t="s">
        <v>33</v>
      </c>
      <c r="O381" t="s">
        <v>28</v>
      </c>
    </row>
    <row r="382" spans="1:15" x14ac:dyDescent="0.35">
      <c r="A382" t="s">
        <v>644</v>
      </c>
      <c r="B382" s="1">
        <v>45923</v>
      </c>
      <c r="C382" t="s">
        <v>442</v>
      </c>
      <c r="D382" t="s">
        <v>60</v>
      </c>
      <c r="E382" t="s">
        <v>61</v>
      </c>
      <c r="F382" t="s">
        <v>41</v>
      </c>
      <c r="G382" t="s">
        <v>37</v>
      </c>
      <c r="H382">
        <v>3</v>
      </c>
      <c r="I382">
        <v>865.6</v>
      </c>
      <c r="J382">
        <v>0.05</v>
      </c>
      <c r="K382">
        <v>2466.96</v>
      </c>
      <c r="L382">
        <v>1800</v>
      </c>
      <c r="M382">
        <v>666.96</v>
      </c>
      <c r="N382" t="s">
        <v>21</v>
      </c>
      <c r="O382" t="s">
        <v>28</v>
      </c>
    </row>
    <row r="383" spans="1:15" x14ac:dyDescent="0.35">
      <c r="A383" t="s">
        <v>645</v>
      </c>
      <c r="B383" s="1">
        <v>45923</v>
      </c>
      <c r="C383" t="s">
        <v>369</v>
      </c>
      <c r="D383" t="s">
        <v>50</v>
      </c>
      <c r="E383" t="s">
        <v>32</v>
      </c>
      <c r="F383" t="s">
        <v>51</v>
      </c>
      <c r="G383" t="s">
        <v>37</v>
      </c>
      <c r="H383">
        <v>1</v>
      </c>
      <c r="I383">
        <v>228.21</v>
      </c>
      <c r="J383">
        <v>0.15</v>
      </c>
      <c r="K383">
        <v>193.98</v>
      </c>
      <c r="L383">
        <v>150</v>
      </c>
      <c r="M383">
        <v>43.98</v>
      </c>
      <c r="N383" t="s">
        <v>21</v>
      </c>
      <c r="O383" t="s">
        <v>28</v>
      </c>
    </row>
    <row r="384" spans="1:15" x14ac:dyDescent="0.35">
      <c r="A384" t="s">
        <v>646</v>
      </c>
      <c r="B384" s="1">
        <v>45958</v>
      </c>
      <c r="C384" t="s">
        <v>647</v>
      </c>
      <c r="D384" t="s">
        <v>17</v>
      </c>
      <c r="E384" t="s">
        <v>18</v>
      </c>
      <c r="F384" t="s">
        <v>51</v>
      </c>
      <c r="G384" t="s">
        <v>37</v>
      </c>
      <c r="H384">
        <v>1</v>
      </c>
      <c r="I384">
        <v>257.88</v>
      </c>
      <c r="J384">
        <v>0.05</v>
      </c>
      <c r="K384">
        <v>244.99</v>
      </c>
      <c r="L384">
        <v>150</v>
      </c>
      <c r="M384">
        <v>94.99</v>
      </c>
      <c r="N384" t="s">
        <v>33</v>
      </c>
      <c r="O384" t="s">
        <v>28</v>
      </c>
    </row>
    <row r="385" spans="1:15" x14ac:dyDescent="0.35">
      <c r="A385" t="s">
        <v>648</v>
      </c>
      <c r="B385" s="1">
        <v>45945</v>
      </c>
      <c r="C385" t="s">
        <v>649</v>
      </c>
      <c r="D385" t="s">
        <v>31</v>
      </c>
      <c r="E385" t="s">
        <v>32</v>
      </c>
      <c r="F385" t="s">
        <v>27</v>
      </c>
      <c r="G385" t="s">
        <v>20</v>
      </c>
      <c r="H385">
        <v>3</v>
      </c>
      <c r="I385">
        <v>198.85</v>
      </c>
      <c r="J385">
        <v>0.05</v>
      </c>
      <c r="K385">
        <v>566.72</v>
      </c>
      <c r="L385">
        <v>330</v>
      </c>
      <c r="M385">
        <v>236.72</v>
      </c>
      <c r="N385" t="s">
        <v>33</v>
      </c>
      <c r="O385" t="s">
        <v>28</v>
      </c>
    </row>
    <row r="386" spans="1:15" x14ac:dyDescent="0.35">
      <c r="A386" t="s">
        <v>650</v>
      </c>
      <c r="B386" s="1">
        <v>45928</v>
      </c>
      <c r="C386" t="s">
        <v>77</v>
      </c>
      <c r="D386" t="s">
        <v>17</v>
      </c>
      <c r="E386" t="s">
        <v>18</v>
      </c>
      <c r="F386" t="s">
        <v>19</v>
      </c>
      <c r="G386" t="s">
        <v>20</v>
      </c>
      <c r="H386">
        <v>2</v>
      </c>
      <c r="I386">
        <v>296.87</v>
      </c>
      <c r="J386">
        <v>0</v>
      </c>
      <c r="K386">
        <v>593.74</v>
      </c>
      <c r="L386">
        <v>340</v>
      </c>
      <c r="M386">
        <v>253.74</v>
      </c>
      <c r="N386" t="s">
        <v>38</v>
      </c>
      <c r="O386" t="s">
        <v>28</v>
      </c>
    </row>
    <row r="387" spans="1:15" x14ac:dyDescent="0.35">
      <c r="A387" t="s">
        <v>651</v>
      </c>
      <c r="B387" s="1">
        <v>45869</v>
      </c>
      <c r="C387" t="s">
        <v>187</v>
      </c>
      <c r="D387" t="s">
        <v>50</v>
      </c>
      <c r="E387" t="s">
        <v>32</v>
      </c>
      <c r="F387" t="s">
        <v>27</v>
      </c>
      <c r="G387" t="s">
        <v>20</v>
      </c>
      <c r="H387">
        <v>3</v>
      </c>
      <c r="I387">
        <v>181.74</v>
      </c>
      <c r="J387">
        <v>0.1</v>
      </c>
      <c r="K387">
        <v>490.7</v>
      </c>
      <c r="L387">
        <v>330</v>
      </c>
      <c r="M387">
        <v>160.69999999999999</v>
      </c>
      <c r="N387" t="s">
        <v>21</v>
      </c>
      <c r="O387" t="s">
        <v>28</v>
      </c>
    </row>
    <row r="388" spans="1:15" x14ac:dyDescent="0.35">
      <c r="A388" t="s">
        <v>652</v>
      </c>
      <c r="B388" s="1">
        <v>45726</v>
      </c>
      <c r="C388" t="s">
        <v>601</v>
      </c>
      <c r="D388" t="s">
        <v>58</v>
      </c>
      <c r="E388" t="s">
        <v>18</v>
      </c>
      <c r="F388" t="s">
        <v>27</v>
      </c>
      <c r="G388" t="s">
        <v>20</v>
      </c>
      <c r="H388">
        <v>5</v>
      </c>
      <c r="I388">
        <v>190.99</v>
      </c>
      <c r="J388">
        <v>0</v>
      </c>
      <c r="K388">
        <v>954.95</v>
      </c>
      <c r="L388">
        <v>550</v>
      </c>
      <c r="M388">
        <v>404.95</v>
      </c>
      <c r="N388" t="s">
        <v>47</v>
      </c>
      <c r="O388" t="s">
        <v>28</v>
      </c>
    </row>
    <row r="389" spans="1:15" x14ac:dyDescent="0.35">
      <c r="A389" t="s">
        <v>653</v>
      </c>
      <c r="B389" s="1">
        <v>45795</v>
      </c>
      <c r="C389" t="s">
        <v>413</v>
      </c>
      <c r="D389" t="s">
        <v>66</v>
      </c>
      <c r="E389" t="s">
        <v>61</v>
      </c>
      <c r="F389" t="s">
        <v>78</v>
      </c>
      <c r="G389" t="s">
        <v>20</v>
      </c>
      <c r="H389">
        <v>2</v>
      </c>
      <c r="I389">
        <v>320.72000000000003</v>
      </c>
      <c r="J389">
        <v>0.05</v>
      </c>
      <c r="K389">
        <v>609.37</v>
      </c>
      <c r="L389">
        <v>400</v>
      </c>
      <c r="M389">
        <v>209.37</v>
      </c>
      <c r="N389" t="s">
        <v>47</v>
      </c>
      <c r="O389" t="s">
        <v>42</v>
      </c>
    </row>
    <row r="390" spans="1:15" x14ac:dyDescent="0.35">
      <c r="A390" t="s">
        <v>654</v>
      </c>
      <c r="B390" s="1">
        <v>45748</v>
      </c>
      <c r="C390" t="s">
        <v>655</v>
      </c>
      <c r="D390" t="s">
        <v>31</v>
      </c>
      <c r="E390" t="s">
        <v>32</v>
      </c>
      <c r="F390" t="s">
        <v>27</v>
      </c>
      <c r="G390" t="s">
        <v>20</v>
      </c>
      <c r="H390">
        <v>1</v>
      </c>
      <c r="I390">
        <v>203.24</v>
      </c>
      <c r="J390">
        <v>0</v>
      </c>
      <c r="K390">
        <v>203.24</v>
      </c>
      <c r="L390">
        <v>110</v>
      </c>
      <c r="M390">
        <v>93.24</v>
      </c>
      <c r="N390" t="s">
        <v>47</v>
      </c>
      <c r="O390" t="s">
        <v>28</v>
      </c>
    </row>
    <row r="391" spans="1:15" x14ac:dyDescent="0.35">
      <c r="A391" t="s">
        <v>656</v>
      </c>
      <c r="B391" s="1">
        <v>45941</v>
      </c>
      <c r="C391" t="s">
        <v>442</v>
      </c>
      <c r="D391" t="s">
        <v>60</v>
      </c>
      <c r="E391" t="s">
        <v>61</v>
      </c>
      <c r="F391" t="s">
        <v>78</v>
      </c>
      <c r="G391" t="s">
        <v>20</v>
      </c>
      <c r="H391">
        <v>4</v>
      </c>
      <c r="I391">
        <v>342.02</v>
      </c>
      <c r="J391">
        <v>0</v>
      </c>
      <c r="K391">
        <v>1368.08</v>
      </c>
      <c r="L391">
        <v>800</v>
      </c>
      <c r="M391">
        <v>568.08000000000004</v>
      </c>
      <c r="N391" t="s">
        <v>33</v>
      </c>
      <c r="O391" t="s">
        <v>42</v>
      </c>
    </row>
    <row r="392" spans="1:15" x14ac:dyDescent="0.35">
      <c r="A392" t="s">
        <v>657</v>
      </c>
      <c r="B392" s="1">
        <v>45887</v>
      </c>
      <c r="C392" t="s">
        <v>174</v>
      </c>
      <c r="D392" t="s">
        <v>66</v>
      </c>
      <c r="E392" t="s">
        <v>61</v>
      </c>
      <c r="F392" t="s">
        <v>27</v>
      </c>
      <c r="G392" t="s">
        <v>20</v>
      </c>
      <c r="H392">
        <v>2</v>
      </c>
      <c r="I392">
        <v>203.63</v>
      </c>
      <c r="J392">
        <v>0.05</v>
      </c>
      <c r="K392">
        <v>386.9</v>
      </c>
      <c r="L392">
        <v>220</v>
      </c>
      <c r="M392">
        <v>166.9</v>
      </c>
      <c r="N392" t="s">
        <v>47</v>
      </c>
      <c r="O392" t="s">
        <v>42</v>
      </c>
    </row>
    <row r="393" spans="1:15" x14ac:dyDescent="0.35">
      <c r="A393" t="s">
        <v>658</v>
      </c>
      <c r="B393" s="1">
        <v>45843</v>
      </c>
      <c r="C393" t="s">
        <v>534</v>
      </c>
      <c r="D393" t="s">
        <v>60</v>
      </c>
      <c r="E393" t="s">
        <v>61</v>
      </c>
      <c r="F393" t="s">
        <v>19</v>
      </c>
      <c r="G393" t="s">
        <v>20</v>
      </c>
      <c r="H393">
        <v>2</v>
      </c>
      <c r="I393">
        <v>263.26</v>
      </c>
      <c r="J393">
        <v>0.05</v>
      </c>
      <c r="K393">
        <v>500.19</v>
      </c>
      <c r="L393">
        <v>340</v>
      </c>
      <c r="M393">
        <v>160.19</v>
      </c>
      <c r="N393" t="s">
        <v>21</v>
      </c>
      <c r="O393" t="s">
        <v>42</v>
      </c>
    </row>
    <row r="394" spans="1:15" x14ac:dyDescent="0.35">
      <c r="A394" t="s">
        <v>659</v>
      </c>
      <c r="B394" s="1">
        <v>45899</v>
      </c>
      <c r="C394" t="s">
        <v>660</v>
      </c>
      <c r="D394" t="s">
        <v>60</v>
      </c>
      <c r="E394" t="s">
        <v>61</v>
      </c>
      <c r="F394" t="s">
        <v>41</v>
      </c>
      <c r="G394" t="s">
        <v>37</v>
      </c>
      <c r="H394">
        <v>5</v>
      </c>
      <c r="I394">
        <v>864.56</v>
      </c>
      <c r="J394">
        <v>0</v>
      </c>
      <c r="K394">
        <v>4322.8</v>
      </c>
      <c r="L394">
        <v>3000</v>
      </c>
      <c r="M394">
        <v>1322.8</v>
      </c>
      <c r="N394" t="s">
        <v>33</v>
      </c>
      <c r="O394" t="s">
        <v>42</v>
      </c>
    </row>
    <row r="395" spans="1:15" x14ac:dyDescent="0.35">
      <c r="A395" t="s">
        <v>661</v>
      </c>
      <c r="B395" s="1">
        <v>45766</v>
      </c>
      <c r="C395" t="s">
        <v>662</v>
      </c>
      <c r="D395" t="s">
        <v>45</v>
      </c>
      <c r="E395" t="s">
        <v>46</v>
      </c>
      <c r="F395" t="s">
        <v>67</v>
      </c>
      <c r="G395" t="s">
        <v>37</v>
      </c>
      <c r="H395">
        <v>2</v>
      </c>
      <c r="I395">
        <v>71.33</v>
      </c>
      <c r="J395">
        <v>0.1</v>
      </c>
      <c r="K395">
        <v>128.38999999999999</v>
      </c>
      <c r="L395">
        <v>80</v>
      </c>
      <c r="M395">
        <v>48.39</v>
      </c>
      <c r="N395" t="s">
        <v>47</v>
      </c>
      <c r="O395" t="s">
        <v>42</v>
      </c>
    </row>
    <row r="396" spans="1:15" x14ac:dyDescent="0.35">
      <c r="A396" t="s">
        <v>663</v>
      </c>
      <c r="B396" s="1">
        <v>45810</v>
      </c>
      <c r="C396" t="s">
        <v>63</v>
      </c>
      <c r="D396" t="s">
        <v>50</v>
      </c>
      <c r="E396" t="s">
        <v>32</v>
      </c>
      <c r="F396" t="s">
        <v>19</v>
      </c>
      <c r="G396" t="s">
        <v>20</v>
      </c>
      <c r="H396">
        <v>2</v>
      </c>
      <c r="I396">
        <v>289.47000000000003</v>
      </c>
      <c r="J396">
        <v>0.1</v>
      </c>
      <c r="K396">
        <v>521.04999999999995</v>
      </c>
      <c r="L396">
        <v>340</v>
      </c>
      <c r="M396">
        <v>181.05</v>
      </c>
      <c r="N396" t="s">
        <v>33</v>
      </c>
      <c r="O396" t="s">
        <v>28</v>
      </c>
    </row>
    <row r="397" spans="1:15" x14ac:dyDescent="0.35">
      <c r="A397" t="s">
        <v>664</v>
      </c>
      <c r="B397" s="1">
        <v>45834</v>
      </c>
      <c r="C397" t="s">
        <v>231</v>
      </c>
      <c r="D397" t="s">
        <v>66</v>
      </c>
      <c r="E397" t="s">
        <v>61</v>
      </c>
      <c r="F397" t="s">
        <v>108</v>
      </c>
      <c r="G397" t="s">
        <v>37</v>
      </c>
      <c r="H397">
        <v>5</v>
      </c>
      <c r="I397">
        <v>404.6</v>
      </c>
      <c r="J397">
        <v>0.1</v>
      </c>
      <c r="K397">
        <v>1820.7</v>
      </c>
      <c r="L397">
        <v>1400</v>
      </c>
      <c r="M397">
        <v>420.7</v>
      </c>
      <c r="N397" t="s">
        <v>47</v>
      </c>
      <c r="O397" t="s">
        <v>28</v>
      </c>
    </row>
    <row r="398" spans="1:15" x14ac:dyDescent="0.35">
      <c r="A398" t="s">
        <v>665</v>
      </c>
      <c r="B398" s="1">
        <v>45807</v>
      </c>
      <c r="C398" t="s">
        <v>123</v>
      </c>
      <c r="D398" t="s">
        <v>60</v>
      </c>
      <c r="E398" t="s">
        <v>61</v>
      </c>
      <c r="F398" t="s">
        <v>78</v>
      </c>
      <c r="G398" t="s">
        <v>20</v>
      </c>
      <c r="H398">
        <v>4</v>
      </c>
      <c r="I398">
        <v>323.32</v>
      </c>
      <c r="J398">
        <v>0.15</v>
      </c>
      <c r="K398">
        <v>1099.29</v>
      </c>
      <c r="L398">
        <v>800</v>
      </c>
      <c r="M398">
        <v>299.29000000000002</v>
      </c>
      <c r="N398" t="s">
        <v>47</v>
      </c>
      <c r="O398" t="s">
        <v>28</v>
      </c>
    </row>
    <row r="399" spans="1:15" x14ac:dyDescent="0.35">
      <c r="A399" t="s">
        <v>666</v>
      </c>
      <c r="B399" s="1">
        <v>45942</v>
      </c>
      <c r="C399" t="s">
        <v>667</v>
      </c>
      <c r="D399" t="s">
        <v>45</v>
      </c>
      <c r="E399" t="s">
        <v>46</v>
      </c>
      <c r="F399" t="s">
        <v>19</v>
      </c>
      <c r="G399" t="s">
        <v>20</v>
      </c>
      <c r="H399">
        <v>2</v>
      </c>
      <c r="I399">
        <v>275.01</v>
      </c>
      <c r="J399">
        <v>0.1</v>
      </c>
      <c r="K399">
        <v>495.02</v>
      </c>
      <c r="L399">
        <v>340</v>
      </c>
      <c r="M399">
        <v>155.02000000000001</v>
      </c>
      <c r="N399" t="s">
        <v>47</v>
      </c>
      <c r="O399" t="s">
        <v>42</v>
      </c>
    </row>
    <row r="400" spans="1:15" x14ac:dyDescent="0.35">
      <c r="A400" t="s">
        <v>668</v>
      </c>
      <c r="B400" s="1">
        <v>45742</v>
      </c>
      <c r="C400" t="s">
        <v>669</v>
      </c>
      <c r="D400" t="s">
        <v>66</v>
      </c>
      <c r="E400" t="s">
        <v>61</v>
      </c>
      <c r="F400" t="s">
        <v>19</v>
      </c>
      <c r="G400" t="s">
        <v>20</v>
      </c>
      <c r="H400">
        <v>3</v>
      </c>
      <c r="I400">
        <v>267.02</v>
      </c>
      <c r="J400">
        <v>0.05</v>
      </c>
      <c r="K400">
        <v>761.01</v>
      </c>
      <c r="L400">
        <v>510</v>
      </c>
      <c r="M400">
        <v>251.01</v>
      </c>
      <c r="N400" t="s">
        <v>21</v>
      </c>
      <c r="O400" t="s">
        <v>28</v>
      </c>
    </row>
    <row r="401" spans="1:15" x14ac:dyDescent="0.35">
      <c r="A401" t="s">
        <v>670</v>
      </c>
      <c r="B401" s="1">
        <v>45779</v>
      </c>
      <c r="C401" t="s">
        <v>358</v>
      </c>
      <c r="D401" t="s">
        <v>66</v>
      </c>
      <c r="E401" t="s">
        <v>61</v>
      </c>
      <c r="F401" t="s">
        <v>51</v>
      </c>
      <c r="G401" t="s">
        <v>37</v>
      </c>
      <c r="H401">
        <v>1</v>
      </c>
      <c r="I401">
        <v>244.2</v>
      </c>
      <c r="J401">
        <v>0</v>
      </c>
      <c r="K401">
        <v>244.2</v>
      </c>
      <c r="L401">
        <v>150</v>
      </c>
      <c r="M401">
        <v>94.2</v>
      </c>
      <c r="N401" t="s">
        <v>21</v>
      </c>
      <c r="O401" t="s">
        <v>28</v>
      </c>
    </row>
    <row r="402" spans="1:15" x14ac:dyDescent="0.35">
      <c r="A402" t="s">
        <v>671</v>
      </c>
      <c r="B402" s="1">
        <v>45784</v>
      </c>
      <c r="C402" t="s">
        <v>672</v>
      </c>
      <c r="D402" t="s">
        <v>58</v>
      </c>
      <c r="E402" t="s">
        <v>18</v>
      </c>
      <c r="F402" t="s">
        <v>78</v>
      </c>
      <c r="G402" t="s">
        <v>20</v>
      </c>
      <c r="H402">
        <v>1</v>
      </c>
      <c r="I402">
        <v>334.79</v>
      </c>
      <c r="J402">
        <v>0.15</v>
      </c>
      <c r="K402">
        <v>284.57</v>
      </c>
      <c r="L402">
        <v>200</v>
      </c>
      <c r="M402">
        <v>84.57</v>
      </c>
      <c r="N402" t="s">
        <v>38</v>
      </c>
      <c r="O402" t="s">
        <v>22</v>
      </c>
    </row>
    <row r="403" spans="1:15" x14ac:dyDescent="0.35">
      <c r="A403" t="s">
        <v>673</v>
      </c>
      <c r="B403" s="1">
        <v>45852</v>
      </c>
      <c r="C403" t="s">
        <v>458</v>
      </c>
      <c r="D403" t="s">
        <v>66</v>
      </c>
      <c r="E403" t="s">
        <v>61</v>
      </c>
      <c r="F403" t="s">
        <v>27</v>
      </c>
      <c r="G403" t="s">
        <v>20</v>
      </c>
      <c r="H403">
        <v>3</v>
      </c>
      <c r="I403">
        <v>192.85</v>
      </c>
      <c r="J403">
        <v>0</v>
      </c>
      <c r="K403">
        <v>578.54999999999995</v>
      </c>
      <c r="L403">
        <v>330</v>
      </c>
      <c r="M403">
        <v>248.55</v>
      </c>
      <c r="N403" t="s">
        <v>33</v>
      </c>
      <c r="O403" t="s">
        <v>42</v>
      </c>
    </row>
    <row r="404" spans="1:15" x14ac:dyDescent="0.35">
      <c r="A404" t="s">
        <v>674</v>
      </c>
      <c r="B404" s="1">
        <v>45896</v>
      </c>
      <c r="C404" t="s">
        <v>240</v>
      </c>
      <c r="D404" t="s">
        <v>50</v>
      </c>
      <c r="E404" t="s">
        <v>32</v>
      </c>
      <c r="F404" t="s">
        <v>27</v>
      </c>
      <c r="G404" t="s">
        <v>20</v>
      </c>
      <c r="H404">
        <v>3</v>
      </c>
      <c r="I404">
        <v>188.83</v>
      </c>
      <c r="J404">
        <v>0</v>
      </c>
      <c r="K404">
        <v>566.49</v>
      </c>
      <c r="L404">
        <v>330</v>
      </c>
      <c r="M404">
        <v>236.49</v>
      </c>
      <c r="N404" t="s">
        <v>21</v>
      </c>
      <c r="O404" t="s">
        <v>42</v>
      </c>
    </row>
    <row r="405" spans="1:15" x14ac:dyDescent="0.35">
      <c r="A405" t="s">
        <v>675</v>
      </c>
      <c r="B405" s="1">
        <v>45664</v>
      </c>
      <c r="C405" t="s">
        <v>210</v>
      </c>
      <c r="D405" t="s">
        <v>66</v>
      </c>
      <c r="E405" t="s">
        <v>61</v>
      </c>
      <c r="F405" t="s">
        <v>41</v>
      </c>
      <c r="G405" t="s">
        <v>37</v>
      </c>
      <c r="H405">
        <v>6</v>
      </c>
      <c r="I405">
        <v>875.05</v>
      </c>
      <c r="J405">
        <v>0.1</v>
      </c>
      <c r="K405">
        <v>4725.2700000000004</v>
      </c>
      <c r="L405">
        <v>3600</v>
      </c>
      <c r="M405">
        <v>1125.27</v>
      </c>
      <c r="N405" t="s">
        <v>38</v>
      </c>
      <c r="O405" t="s">
        <v>28</v>
      </c>
    </row>
    <row r="406" spans="1:15" x14ac:dyDescent="0.35">
      <c r="A406" t="s">
        <v>676</v>
      </c>
      <c r="B406" s="1">
        <v>45686</v>
      </c>
      <c r="C406" t="s">
        <v>324</v>
      </c>
      <c r="D406" t="s">
        <v>50</v>
      </c>
      <c r="E406" t="s">
        <v>32</v>
      </c>
      <c r="F406" t="s">
        <v>36</v>
      </c>
      <c r="G406" t="s">
        <v>37</v>
      </c>
      <c r="H406">
        <v>3</v>
      </c>
      <c r="I406">
        <v>114.16</v>
      </c>
      <c r="J406">
        <v>0</v>
      </c>
      <c r="K406">
        <v>342.48</v>
      </c>
      <c r="L406">
        <v>180</v>
      </c>
      <c r="M406">
        <v>162.47999999999999</v>
      </c>
      <c r="N406" t="s">
        <v>38</v>
      </c>
      <c r="O406" t="s">
        <v>28</v>
      </c>
    </row>
    <row r="407" spans="1:15" x14ac:dyDescent="0.35">
      <c r="A407" t="s">
        <v>677</v>
      </c>
      <c r="B407" s="1">
        <v>45743</v>
      </c>
      <c r="C407" t="s">
        <v>678</v>
      </c>
      <c r="D407" t="s">
        <v>25</v>
      </c>
      <c r="E407" t="s">
        <v>26</v>
      </c>
      <c r="F407" t="s">
        <v>41</v>
      </c>
      <c r="G407" t="s">
        <v>37</v>
      </c>
      <c r="H407">
        <v>2</v>
      </c>
      <c r="I407">
        <v>894.97</v>
      </c>
      <c r="J407">
        <v>0</v>
      </c>
      <c r="K407">
        <v>1789.94</v>
      </c>
      <c r="L407">
        <v>1200</v>
      </c>
      <c r="M407">
        <v>589.94000000000005</v>
      </c>
      <c r="N407" t="s">
        <v>21</v>
      </c>
      <c r="O407" t="s">
        <v>22</v>
      </c>
    </row>
    <row r="408" spans="1:15" x14ac:dyDescent="0.35">
      <c r="A408" t="s">
        <v>679</v>
      </c>
      <c r="B408" s="1">
        <v>45928</v>
      </c>
      <c r="C408" t="s">
        <v>549</v>
      </c>
      <c r="D408" t="s">
        <v>58</v>
      </c>
      <c r="E408" t="s">
        <v>18</v>
      </c>
      <c r="F408" t="s">
        <v>36</v>
      </c>
      <c r="G408" t="s">
        <v>37</v>
      </c>
      <c r="H408">
        <v>1</v>
      </c>
      <c r="I408">
        <v>126.54</v>
      </c>
      <c r="J408">
        <v>0</v>
      </c>
      <c r="K408">
        <v>126.54</v>
      </c>
      <c r="L408">
        <v>60</v>
      </c>
      <c r="M408">
        <v>66.540000000000006</v>
      </c>
      <c r="N408" t="s">
        <v>21</v>
      </c>
      <c r="O408" t="s">
        <v>22</v>
      </c>
    </row>
    <row r="409" spans="1:15" x14ac:dyDescent="0.35">
      <c r="A409" t="s">
        <v>680</v>
      </c>
      <c r="B409" s="1">
        <v>45861</v>
      </c>
      <c r="C409" t="s">
        <v>242</v>
      </c>
      <c r="D409" t="s">
        <v>45</v>
      </c>
      <c r="E409" t="s">
        <v>46</v>
      </c>
      <c r="F409" t="s">
        <v>41</v>
      </c>
      <c r="G409" t="s">
        <v>37</v>
      </c>
      <c r="H409">
        <v>3</v>
      </c>
      <c r="I409">
        <v>867.79</v>
      </c>
      <c r="J409">
        <v>0.1</v>
      </c>
      <c r="K409">
        <v>2343.0300000000002</v>
      </c>
      <c r="L409">
        <v>1800</v>
      </c>
      <c r="M409">
        <v>543.03</v>
      </c>
      <c r="N409" t="s">
        <v>47</v>
      </c>
      <c r="O409" t="s">
        <v>28</v>
      </c>
    </row>
    <row r="410" spans="1:15" x14ac:dyDescent="0.35">
      <c r="A410" t="s">
        <v>681</v>
      </c>
      <c r="B410" s="1">
        <v>45992</v>
      </c>
      <c r="C410" t="s">
        <v>356</v>
      </c>
      <c r="D410" t="s">
        <v>17</v>
      </c>
      <c r="E410" t="s">
        <v>18</v>
      </c>
      <c r="F410" t="s">
        <v>27</v>
      </c>
      <c r="G410" t="s">
        <v>20</v>
      </c>
      <c r="H410">
        <v>5</v>
      </c>
      <c r="I410">
        <v>191.53</v>
      </c>
      <c r="J410">
        <v>0</v>
      </c>
      <c r="K410">
        <v>957.65</v>
      </c>
      <c r="L410">
        <v>550</v>
      </c>
      <c r="M410">
        <v>407.65</v>
      </c>
      <c r="N410" t="s">
        <v>38</v>
      </c>
      <c r="O410" t="s">
        <v>42</v>
      </c>
    </row>
    <row r="411" spans="1:15" x14ac:dyDescent="0.35">
      <c r="A411" t="s">
        <v>682</v>
      </c>
      <c r="B411" s="1">
        <v>45719</v>
      </c>
      <c r="C411" t="s">
        <v>683</v>
      </c>
      <c r="D411" t="s">
        <v>17</v>
      </c>
      <c r="E411" t="s">
        <v>18</v>
      </c>
      <c r="F411" t="s">
        <v>36</v>
      </c>
      <c r="G411" t="s">
        <v>37</v>
      </c>
      <c r="H411">
        <v>2</v>
      </c>
      <c r="I411">
        <v>119.46</v>
      </c>
      <c r="J411">
        <v>0</v>
      </c>
      <c r="K411">
        <v>238.92</v>
      </c>
      <c r="L411">
        <v>120</v>
      </c>
      <c r="M411">
        <v>118.92</v>
      </c>
      <c r="N411" t="s">
        <v>38</v>
      </c>
      <c r="O411" t="s">
        <v>28</v>
      </c>
    </row>
    <row r="412" spans="1:15" x14ac:dyDescent="0.35">
      <c r="A412" t="s">
        <v>684</v>
      </c>
      <c r="B412" s="1">
        <v>46005</v>
      </c>
      <c r="C412" t="s">
        <v>685</v>
      </c>
      <c r="D412" t="s">
        <v>45</v>
      </c>
      <c r="E412" t="s">
        <v>46</v>
      </c>
      <c r="F412" t="s">
        <v>67</v>
      </c>
      <c r="G412" t="s">
        <v>37</v>
      </c>
      <c r="H412">
        <v>1</v>
      </c>
      <c r="I412">
        <v>71.72</v>
      </c>
      <c r="J412">
        <v>0</v>
      </c>
      <c r="K412">
        <v>71.72</v>
      </c>
      <c r="L412">
        <v>40</v>
      </c>
      <c r="M412">
        <v>31.72</v>
      </c>
      <c r="N412" t="s">
        <v>47</v>
      </c>
      <c r="O412" t="s">
        <v>28</v>
      </c>
    </row>
    <row r="413" spans="1:15" x14ac:dyDescent="0.35">
      <c r="A413" t="s">
        <v>686</v>
      </c>
      <c r="B413" s="1">
        <v>45975</v>
      </c>
      <c r="C413" t="s">
        <v>687</v>
      </c>
      <c r="D413" t="s">
        <v>45</v>
      </c>
      <c r="E413" t="s">
        <v>46</v>
      </c>
      <c r="F413" t="s">
        <v>27</v>
      </c>
      <c r="G413" t="s">
        <v>20</v>
      </c>
      <c r="H413">
        <v>2</v>
      </c>
      <c r="I413">
        <v>197.08</v>
      </c>
      <c r="J413">
        <v>0</v>
      </c>
      <c r="K413">
        <v>394.16</v>
      </c>
      <c r="L413">
        <v>220</v>
      </c>
      <c r="M413">
        <v>174.16</v>
      </c>
      <c r="N413" t="s">
        <v>47</v>
      </c>
      <c r="O413" t="s">
        <v>42</v>
      </c>
    </row>
    <row r="414" spans="1:15" x14ac:dyDescent="0.35">
      <c r="A414" t="s">
        <v>688</v>
      </c>
      <c r="B414" s="1">
        <v>45877</v>
      </c>
      <c r="C414" t="s">
        <v>135</v>
      </c>
      <c r="D414" t="s">
        <v>31</v>
      </c>
      <c r="E414" t="s">
        <v>32</v>
      </c>
      <c r="F414" t="s">
        <v>19</v>
      </c>
      <c r="G414" t="s">
        <v>20</v>
      </c>
      <c r="H414">
        <v>1</v>
      </c>
      <c r="I414">
        <v>282.89</v>
      </c>
      <c r="J414">
        <v>0</v>
      </c>
      <c r="K414">
        <v>282.89</v>
      </c>
      <c r="L414">
        <v>170</v>
      </c>
      <c r="M414">
        <v>112.89</v>
      </c>
      <c r="N414" t="s">
        <v>47</v>
      </c>
      <c r="O414" t="s">
        <v>42</v>
      </c>
    </row>
    <row r="415" spans="1:15" x14ac:dyDescent="0.35">
      <c r="A415" t="s">
        <v>689</v>
      </c>
      <c r="B415" s="1">
        <v>45989</v>
      </c>
      <c r="C415" t="s">
        <v>299</v>
      </c>
      <c r="D415" t="s">
        <v>66</v>
      </c>
      <c r="E415" t="s">
        <v>61</v>
      </c>
      <c r="F415" t="s">
        <v>19</v>
      </c>
      <c r="G415" t="s">
        <v>20</v>
      </c>
      <c r="H415">
        <v>3</v>
      </c>
      <c r="I415">
        <v>268.48</v>
      </c>
      <c r="J415">
        <v>0</v>
      </c>
      <c r="K415">
        <v>805.44</v>
      </c>
      <c r="L415">
        <v>510</v>
      </c>
      <c r="M415">
        <v>295.44</v>
      </c>
      <c r="N415" t="s">
        <v>21</v>
      </c>
      <c r="O415" t="s">
        <v>28</v>
      </c>
    </row>
    <row r="416" spans="1:15" x14ac:dyDescent="0.35">
      <c r="A416" t="s">
        <v>690</v>
      </c>
      <c r="B416" s="1">
        <v>45861</v>
      </c>
      <c r="C416" t="s">
        <v>332</v>
      </c>
      <c r="D416" t="s">
        <v>66</v>
      </c>
      <c r="E416" t="s">
        <v>61</v>
      </c>
      <c r="F416" t="s">
        <v>67</v>
      </c>
      <c r="G416" t="s">
        <v>37</v>
      </c>
      <c r="H416">
        <v>3</v>
      </c>
      <c r="I416">
        <v>76.95</v>
      </c>
      <c r="J416">
        <v>0.05</v>
      </c>
      <c r="K416">
        <v>219.31</v>
      </c>
      <c r="L416">
        <v>120</v>
      </c>
      <c r="M416">
        <v>99.31</v>
      </c>
      <c r="N416" t="s">
        <v>47</v>
      </c>
      <c r="O416" t="s">
        <v>28</v>
      </c>
    </row>
    <row r="417" spans="1:15" x14ac:dyDescent="0.35">
      <c r="A417" t="s">
        <v>691</v>
      </c>
      <c r="B417" s="1">
        <v>45975</v>
      </c>
      <c r="C417" t="s">
        <v>191</v>
      </c>
      <c r="D417" t="s">
        <v>25</v>
      </c>
      <c r="E417" t="s">
        <v>26</v>
      </c>
      <c r="F417" t="s">
        <v>41</v>
      </c>
      <c r="G417" t="s">
        <v>37</v>
      </c>
      <c r="H417">
        <v>1</v>
      </c>
      <c r="I417">
        <v>836.68</v>
      </c>
      <c r="J417">
        <v>0.05</v>
      </c>
      <c r="K417">
        <v>794.85</v>
      </c>
      <c r="L417">
        <v>600</v>
      </c>
      <c r="M417">
        <v>194.85</v>
      </c>
      <c r="N417" t="s">
        <v>38</v>
      </c>
      <c r="O417" t="s">
        <v>28</v>
      </c>
    </row>
    <row r="418" spans="1:15" x14ac:dyDescent="0.35">
      <c r="A418" t="s">
        <v>692</v>
      </c>
      <c r="B418" s="1">
        <v>45830</v>
      </c>
      <c r="C418" t="s">
        <v>471</v>
      </c>
      <c r="D418" t="s">
        <v>25</v>
      </c>
      <c r="E418" t="s">
        <v>26</v>
      </c>
      <c r="F418" t="s">
        <v>67</v>
      </c>
      <c r="G418" t="s">
        <v>37</v>
      </c>
      <c r="H418">
        <v>2</v>
      </c>
      <c r="I418">
        <v>77.63</v>
      </c>
      <c r="J418">
        <v>0</v>
      </c>
      <c r="K418">
        <v>155.26</v>
      </c>
      <c r="L418">
        <v>80</v>
      </c>
      <c r="M418">
        <v>75.260000000000005</v>
      </c>
      <c r="N418" t="s">
        <v>21</v>
      </c>
      <c r="O418" t="s">
        <v>42</v>
      </c>
    </row>
    <row r="419" spans="1:15" x14ac:dyDescent="0.35">
      <c r="A419" t="s">
        <v>693</v>
      </c>
      <c r="B419" s="1">
        <v>45864</v>
      </c>
      <c r="C419" t="s">
        <v>82</v>
      </c>
      <c r="D419" t="s">
        <v>17</v>
      </c>
      <c r="E419" t="s">
        <v>18</v>
      </c>
      <c r="F419" t="s">
        <v>27</v>
      </c>
      <c r="G419" t="s">
        <v>20</v>
      </c>
      <c r="H419">
        <v>4</v>
      </c>
      <c r="I419">
        <v>182.68</v>
      </c>
      <c r="J419">
        <v>0</v>
      </c>
      <c r="K419">
        <v>730.72</v>
      </c>
      <c r="L419">
        <v>440</v>
      </c>
      <c r="M419">
        <v>290.72000000000003</v>
      </c>
      <c r="N419" t="s">
        <v>21</v>
      </c>
      <c r="O419" t="s">
        <v>28</v>
      </c>
    </row>
    <row r="420" spans="1:15" x14ac:dyDescent="0.35">
      <c r="A420" t="s">
        <v>694</v>
      </c>
      <c r="B420" s="1">
        <v>45914</v>
      </c>
      <c r="C420" t="s">
        <v>53</v>
      </c>
      <c r="D420" t="s">
        <v>50</v>
      </c>
      <c r="E420" t="s">
        <v>32</v>
      </c>
      <c r="F420" t="s">
        <v>51</v>
      </c>
      <c r="G420" t="s">
        <v>37</v>
      </c>
      <c r="H420">
        <v>1</v>
      </c>
      <c r="I420">
        <v>255.72</v>
      </c>
      <c r="J420">
        <v>0</v>
      </c>
      <c r="K420">
        <v>255.72</v>
      </c>
      <c r="L420">
        <v>150</v>
      </c>
      <c r="M420">
        <v>105.72</v>
      </c>
      <c r="N420" t="s">
        <v>38</v>
      </c>
      <c r="O420" t="s">
        <v>22</v>
      </c>
    </row>
    <row r="421" spans="1:15" x14ac:dyDescent="0.35">
      <c r="A421" t="s">
        <v>695</v>
      </c>
      <c r="B421" s="1">
        <v>45833</v>
      </c>
      <c r="C421" t="s">
        <v>288</v>
      </c>
      <c r="D421" t="s">
        <v>31</v>
      </c>
      <c r="E421" t="s">
        <v>32</v>
      </c>
      <c r="F421" t="s">
        <v>41</v>
      </c>
      <c r="G421" t="s">
        <v>37</v>
      </c>
      <c r="H421">
        <v>5</v>
      </c>
      <c r="I421">
        <v>843.44</v>
      </c>
      <c r="J421">
        <v>0.15</v>
      </c>
      <c r="K421">
        <v>3584.62</v>
      </c>
      <c r="L421">
        <v>3000</v>
      </c>
      <c r="M421">
        <v>584.62</v>
      </c>
      <c r="N421" t="s">
        <v>38</v>
      </c>
      <c r="O421" t="s">
        <v>28</v>
      </c>
    </row>
    <row r="422" spans="1:15" x14ac:dyDescent="0.35">
      <c r="A422" t="s">
        <v>696</v>
      </c>
      <c r="B422" s="1">
        <v>45921</v>
      </c>
      <c r="C422" t="s">
        <v>153</v>
      </c>
      <c r="D422" t="s">
        <v>58</v>
      </c>
      <c r="E422" t="s">
        <v>18</v>
      </c>
      <c r="F422" t="s">
        <v>41</v>
      </c>
      <c r="G422" t="s">
        <v>37</v>
      </c>
      <c r="H422">
        <v>3</v>
      </c>
      <c r="I422">
        <v>817.99</v>
      </c>
      <c r="J422">
        <v>0</v>
      </c>
      <c r="K422">
        <v>2453.9699999999998</v>
      </c>
      <c r="L422">
        <v>1800</v>
      </c>
      <c r="M422">
        <v>653.97</v>
      </c>
      <c r="N422" t="s">
        <v>21</v>
      </c>
      <c r="O422" t="s">
        <v>42</v>
      </c>
    </row>
    <row r="423" spans="1:15" x14ac:dyDescent="0.35">
      <c r="A423" t="s">
        <v>697</v>
      </c>
      <c r="B423" s="1">
        <v>45718</v>
      </c>
      <c r="C423" t="s">
        <v>698</v>
      </c>
      <c r="D423" t="s">
        <v>66</v>
      </c>
      <c r="E423" t="s">
        <v>61</v>
      </c>
      <c r="F423" t="s">
        <v>36</v>
      </c>
      <c r="G423" t="s">
        <v>37</v>
      </c>
      <c r="H423">
        <v>6</v>
      </c>
      <c r="I423">
        <v>114.63</v>
      </c>
      <c r="J423">
        <v>0</v>
      </c>
      <c r="K423">
        <v>687.78</v>
      </c>
      <c r="L423">
        <v>360</v>
      </c>
      <c r="M423">
        <v>327.78</v>
      </c>
      <c r="N423" t="s">
        <v>33</v>
      </c>
      <c r="O423" t="s">
        <v>22</v>
      </c>
    </row>
    <row r="424" spans="1:15" x14ac:dyDescent="0.35">
      <c r="A424" t="s">
        <v>699</v>
      </c>
      <c r="B424" s="1">
        <v>45961</v>
      </c>
      <c r="C424" t="s">
        <v>113</v>
      </c>
      <c r="D424" t="s">
        <v>50</v>
      </c>
      <c r="E424" t="s">
        <v>32</v>
      </c>
      <c r="F424" t="s">
        <v>36</v>
      </c>
      <c r="G424" t="s">
        <v>37</v>
      </c>
      <c r="H424">
        <v>1</v>
      </c>
      <c r="I424">
        <v>128.30000000000001</v>
      </c>
      <c r="J424">
        <v>0</v>
      </c>
      <c r="K424">
        <v>128.30000000000001</v>
      </c>
      <c r="L424">
        <v>60</v>
      </c>
      <c r="M424">
        <v>68.3</v>
      </c>
      <c r="N424" t="s">
        <v>21</v>
      </c>
      <c r="O424" t="s">
        <v>22</v>
      </c>
    </row>
    <row r="425" spans="1:15" x14ac:dyDescent="0.35">
      <c r="A425" t="s">
        <v>700</v>
      </c>
      <c r="B425" s="1">
        <v>45892</v>
      </c>
      <c r="C425" t="s">
        <v>632</v>
      </c>
      <c r="D425" t="s">
        <v>66</v>
      </c>
      <c r="E425" t="s">
        <v>61</v>
      </c>
      <c r="F425" t="s">
        <v>36</v>
      </c>
      <c r="G425" t="s">
        <v>37</v>
      </c>
      <c r="H425">
        <v>5</v>
      </c>
      <c r="I425">
        <v>120.28</v>
      </c>
      <c r="J425">
        <v>0</v>
      </c>
      <c r="K425">
        <v>601.4</v>
      </c>
      <c r="L425">
        <v>300</v>
      </c>
      <c r="M425">
        <v>301.39999999999998</v>
      </c>
      <c r="N425" t="s">
        <v>21</v>
      </c>
      <c r="O425" t="s">
        <v>42</v>
      </c>
    </row>
    <row r="426" spans="1:15" x14ac:dyDescent="0.35">
      <c r="A426" t="s">
        <v>701</v>
      </c>
      <c r="B426" s="1">
        <v>45676</v>
      </c>
      <c r="C426" t="s">
        <v>16</v>
      </c>
      <c r="D426" t="s">
        <v>58</v>
      </c>
      <c r="E426" t="s">
        <v>18</v>
      </c>
      <c r="F426" t="s">
        <v>108</v>
      </c>
      <c r="G426" t="s">
        <v>37</v>
      </c>
      <c r="H426">
        <v>3</v>
      </c>
      <c r="I426">
        <v>411.5</v>
      </c>
      <c r="J426">
        <v>0</v>
      </c>
      <c r="K426">
        <v>1234.5</v>
      </c>
      <c r="L426">
        <v>840</v>
      </c>
      <c r="M426">
        <v>394.5</v>
      </c>
      <c r="N426" t="s">
        <v>33</v>
      </c>
      <c r="O426" t="s">
        <v>22</v>
      </c>
    </row>
    <row r="427" spans="1:15" x14ac:dyDescent="0.35">
      <c r="A427" t="s">
        <v>702</v>
      </c>
      <c r="B427" s="1">
        <v>45840</v>
      </c>
      <c r="C427" t="s">
        <v>703</v>
      </c>
      <c r="D427" t="s">
        <v>17</v>
      </c>
      <c r="E427" t="s">
        <v>18</v>
      </c>
      <c r="F427" t="s">
        <v>19</v>
      </c>
      <c r="G427" t="s">
        <v>20</v>
      </c>
      <c r="H427">
        <v>3</v>
      </c>
      <c r="I427">
        <v>277.08999999999997</v>
      </c>
      <c r="J427">
        <v>0.05</v>
      </c>
      <c r="K427">
        <v>789.71</v>
      </c>
      <c r="L427">
        <v>510</v>
      </c>
      <c r="M427">
        <v>279.70999999999998</v>
      </c>
      <c r="N427" t="s">
        <v>33</v>
      </c>
      <c r="O427" t="s">
        <v>28</v>
      </c>
    </row>
    <row r="428" spans="1:15" x14ac:dyDescent="0.35">
      <c r="A428" t="s">
        <v>704</v>
      </c>
      <c r="B428" s="1">
        <v>45823</v>
      </c>
      <c r="C428" t="s">
        <v>564</v>
      </c>
      <c r="D428" t="s">
        <v>60</v>
      </c>
      <c r="E428" t="s">
        <v>61</v>
      </c>
      <c r="F428" t="s">
        <v>78</v>
      </c>
      <c r="G428" t="s">
        <v>20</v>
      </c>
      <c r="H428">
        <v>1</v>
      </c>
      <c r="I428">
        <v>337.26</v>
      </c>
      <c r="J428">
        <v>0.05</v>
      </c>
      <c r="K428">
        <v>320.39999999999998</v>
      </c>
      <c r="L428">
        <v>200</v>
      </c>
      <c r="M428">
        <v>120.4</v>
      </c>
      <c r="N428" t="s">
        <v>33</v>
      </c>
      <c r="O428" t="s">
        <v>28</v>
      </c>
    </row>
    <row r="429" spans="1:15" x14ac:dyDescent="0.35">
      <c r="A429" t="s">
        <v>705</v>
      </c>
      <c r="B429" s="1">
        <v>45790</v>
      </c>
      <c r="C429" t="s">
        <v>456</v>
      </c>
      <c r="D429" t="s">
        <v>45</v>
      </c>
      <c r="E429" t="s">
        <v>46</v>
      </c>
      <c r="F429" t="s">
        <v>41</v>
      </c>
      <c r="G429" t="s">
        <v>37</v>
      </c>
      <c r="H429">
        <v>3</v>
      </c>
      <c r="I429">
        <v>815.21</v>
      </c>
      <c r="J429">
        <v>0.2</v>
      </c>
      <c r="K429">
        <v>1956.5</v>
      </c>
      <c r="L429">
        <v>1800</v>
      </c>
      <c r="M429">
        <v>156.5</v>
      </c>
      <c r="N429" t="s">
        <v>38</v>
      </c>
      <c r="O429" t="s">
        <v>42</v>
      </c>
    </row>
    <row r="430" spans="1:15" x14ac:dyDescent="0.35">
      <c r="A430" t="s">
        <v>706</v>
      </c>
      <c r="B430" s="1">
        <v>45800</v>
      </c>
      <c r="C430" t="s">
        <v>97</v>
      </c>
      <c r="D430" t="s">
        <v>25</v>
      </c>
      <c r="E430" t="s">
        <v>26</v>
      </c>
      <c r="F430" t="s">
        <v>67</v>
      </c>
      <c r="G430" t="s">
        <v>37</v>
      </c>
      <c r="H430">
        <v>1</v>
      </c>
      <c r="I430">
        <v>75.67</v>
      </c>
      <c r="J430">
        <v>0.05</v>
      </c>
      <c r="K430">
        <v>71.89</v>
      </c>
      <c r="L430">
        <v>40</v>
      </c>
      <c r="M430">
        <v>31.89</v>
      </c>
      <c r="N430" t="s">
        <v>21</v>
      </c>
      <c r="O430" t="s">
        <v>42</v>
      </c>
    </row>
    <row r="431" spans="1:15" x14ac:dyDescent="0.35">
      <c r="A431" t="s">
        <v>707</v>
      </c>
      <c r="B431" s="1">
        <v>45716</v>
      </c>
      <c r="C431" t="s">
        <v>388</v>
      </c>
      <c r="D431" t="s">
        <v>58</v>
      </c>
      <c r="E431" t="s">
        <v>18</v>
      </c>
      <c r="F431" t="s">
        <v>51</v>
      </c>
      <c r="G431" t="s">
        <v>37</v>
      </c>
      <c r="H431">
        <v>4</v>
      </c>
      <c r="I431">
        <v>257.98</v>
      </c>
      <c r="J431">
        <v>0.1</v>
      </c>
      <c r="K431">
        <v>928.73</v>
      </c>
      <c r="L431">
        <v>600</v>
      </c>
      <c r="M431">
        <v>328.73</v>
      </c>
      <c r="N431" t="s">
        <v>47</v>
      </c>
      <c r="O431" t="s">
        <v>28</v>
      </c>
    </row>
    <row r="432" spans="1:15" x14ac:dyDescent="0.35">
      <c r="A432" t="s">
        <v>708</v>
      </c>
      <c r="B432" s="1">
        <v>45979</v>
      </c>
      <c r="C432" t="s">
        <v>709</v>
      </c>
      <c r="D432" t="s">
        <v>50</v>
      </c>
      <c r="E432" t="s">
        <v>32</v>
      </c>
      <c r="F432" t="s">
        <v>41</v>
      </c>
      <c r="G432" t="s">
        <v>37</v>
      </c>
      <c r="H432">
        <v>1</v>
      </c>
      <c r="I432">
        <v>871.94</v>
      </c>
      <c r="J432">
        <v>0.15</v>
      </c>
      <c r="K432">
        <v>741.15</v>
      </c>
      <c r="L432">
        <v>600</v>
      </c>
      <c r="M432">
        <v>141.15</v>
      </c>
      <c r="N432" t="s">
        <v>21</v>
      </c>
      <c r="O432" t="s">
        <v>28</v>
      </c>
    </row>
    <row r="433" spans="1:15" x14ac:dyDescent="0.35">
      <c r="A433" t="s">
        <v>710</v>
      </c>
      <c r="B433" s="1">
        <v>45665</v>
      </c>
      <c r="C433" t="s">
        <v>630</v>
      </c>
      <c r="D433" t="s">
        <v>50</v>
      </c>
      <c r="E433" t="s">
        <v>32</v>
      </c>
      <c r="F433" t="s">
        <v>27</v>
      </c>
      <c r="G433" t="s">
        <v>20</v>
      </c>
      <c r="H433">
        <v>1</v>
      </c>
      <c r="I433">
        <v>195.72</v>
      </c>
      <c r="J433">
        <v>0.15</v>
      </c>
      <c r="K433">
        <v>166.36</v>
      </c>
      <c r="L433">
        <v>110</v>
      </c>
      <c r="M433">
        <v>56.36</v>
      </c>
      <c r="N433" t="s">
        <v>38</v>
      </c>
      <c r="O433" t="s">
        <v>28</v>
      </c>
    </row>
    <row r="434" spans="1:15" x14ac:dyDescent="0.35">
      <c r="A434" t="s">
        <v>711</v>
      </c>
      <c r="B434" s="1">
        <v>45702</v>
      </c>
      <c r="C434" t="s">
        <v>73</v>
      </c>
      <c r="D434" t="s">
        <v>58</v>
      </c>
      <c r="E434" t="s">
        <v>18</v>
      </c>
      <c r="F434" t="s">
        <v>51</v>
      </c>
      <c r="G434" t="s">
        <v>37</v>
      </c>
      <c r="H434">
        <v>3</v>
      </c>
      <c r="I434">
        <v>252.96</v>
      </c>
      <c r="J434">
        <v>0</v>
      </c>
      <c r="K434">
        <v>758.88</v>
      </c>
      <c r="L434">
        <v>450</v>
      </c>
      <c r="M434">
        <v>308.88</v>
      </c>
      <c r="N434" t="s">
        <v>21</v>
      </c>
      <c r="O434" t="s">
        <v>28</v>
      </c>
    </row>
    <row r="435" spans="1:15" x14ac:dyDescent="0.35">
      <c r="A435" t="s">
        <v>712</v>
      </c>
      <c r="B435" s="1">
        <v>45896</v>
      </c>
      <c r="C435" t="s">
        <v>365</v>
      </c>
      <c r="D435" t="s">
        <v>45</v>
      </c>
      <c r="E435" t="s">
        <v>46</v>
      </c>
      <c r="F435" t="s">
        <v>51</v>
      </c>
      <c r="G435" t="s">
        <v>37</v>
      </c>
      <c r="H435">
        <v>3</v>
      </c>
      <c r="I435">
        <v>252.21</v>
      </c>
      <c r="J435">
        <v>0.15</v>
      </c>
      <c r="K435">
        <v>643.14</v>
      </c>
      <c r="L435">
        <v>450</v>
      </c>
      <c r="M435">
        <v>193.14</v>
      </c>
      <c r="N435" t="s">
        <v>21</v>
      </c>
      <c r="O435" t="s">
        <v>28</v>
      </c>
    </row>
    <row r="436" spans="1:15" x14ac:dyDescent="0.35">
      <c r="A436" t="s">
        <v>713</v>
      </c>
      <c r="B436" s="1">
        <v>45925</v>
      </c>
      <c r="C436" t="s">
        <v>683</v>
      </c>
      <c r="D436" t="s">
        <v>60</v>
      </c>
      <c r="E436" t="s">
        <v>61</v>
      </c>
      <c r="F436" t="s">
        <v>41</v>
      </c>
      <c r="G436" t="s">
        <v>37</v>
      </c>
      <c r="H436">
        <v>4</v>
      </c>
      <c r="I436">
        <v>816.9</v>
      </c>
      <c r="J436">
        <v>0.15</v>
      </c>
      <c r="K436">
        <v>2777.46</v>
      </c>
      <c r="L436">
        <v>2400</v>
      </c>
      <c r="M436">
        <v>377.46</v>
      </c>
      <c r="N436" t="s">
        <v>21</v>
      </c>
      <c r="O436" t="s">
        <v>28</v>
      </c>
    </row>
    <row r="437" spans="1:15" x14ac:dyDescent="0.35">
      <c r="A437" t="s">
        <v>714</v>
      </c>
      <c r="B437" s="1">
        <v>45947</v>
      </c>
      <c r="C437" t="s">
        <v>53</v>
      </c>
      <c r="D437" t="s">
        <v>58</v>
      </c>
      <c r="E437" t="s">
        <v>18</v>
      </c>
      <c r="F437" t="s">
        <v>67</v>
      </c>
      <c r="G437" t="s">
        <v>37</v>
      </c>
      <c r="H437">
        <v>1</v>
      </c>
      <c r="I437">
        <v>71.98</v>
      </c>
      <c r="J437">
        <v>0.15</v>
      </c>
      <c r="K437">
        <v>61.18</v>
      </c>
      <c r="L437">
        <v>40</v>
      </c>
      <c r="M437">
        <v>21.18</v>
      </c>
      <c r="N437" t="s">
        <v>47</v>
      </c>
      <c r="O437" t="s">
        <v>22</v>
      </c>
    </row>
    <row r="438" spans="1:15" x14ac:dyDescent="0.35">
      <c r="A438" t="s">
        <v>715</v>
      </c>
      <c r="B438" s="1">
        <v>45953</v>
      </c>
      <c r="C438" t="s">
        <v>299</v>
      </c>
      <c r="D438" t="s">
        <v>25</v>
      </c>
      <c r="E438" t="s">
        <v>26</v>
      </c>
      <c r="F438" t="s">
        <v>27</v>
      </c>
      <c r="G438" t="s">
        <v>20</v>
      </c>
      <c r="H438">
        <v>1</v>
      </c>
      <c r="I438">
        <v>185.62</v>
      </c>
      <c r="J438">
        <v>0</v>
      </c>
      <c r="K438">
        <v>185.62</v>
      </c>
      <c r="L438">
        <v>110</v>
      </c>
      <c r="M438">
        <v>75.62</v>
      </c>
      <c r="N438" t="s">
        <v>21</v>
      </c>
      <c r="O438" t="s">
        <v>28</v>
      </c>
    </row>
    <row r="439" spans="1:15" x14ac:dyDescent="0.35">
      <c r="A439" t="s">
        <v>716</v>
      </c>
      <c r="B439" s="1">
        <v>45696</v>
      </c>
      <c r="C439" t="s">
        <v>201</v>
      </c>
      <c r="D439" t="s">
        <v>17</v>
      </c>
      <c r="E439" t="s">
        <v>18</v>
      </c>
      <c r="F439" t="s">
        <v>41</v>
      </c>
      <c r="G439" t="s">
        <v>37</v>
      </c>
      <c r="H439">
        <v>2</v>
      </c>
      <c r="I439">
        <v>915.28</v>
      </c>
      <c r="J439">
        <v>0</v>
      </c>
      <c r="K439">
        <v>1830.56</v>
      </c>
      <c r="L439">
        <v>1200</v>
      </c>
      <c r="M439">
        <v>630.55999999999995</v>
      </c>
      <c r="N439" t="s">
        <v>38</v>
      </c>
      <c r="O439" t="s">
        <v>28</v>
      </c>
    </row>
    <row r="440" spans="1:15" x14ac:dyDescent="0.35">
      <c r="A440" t="s">
        <v>717</v>
      </c>
      <c r="B440" s="1">
        <v>46001</v>
      </c>
      <c r="C440" t="s">
        <v>97</v>
      </c>
      <c r="D440" t="s">
        <v>45</v>
      </c>
      <c r="E440" t="s">
        <v>46</v>
      </c>
      <c r="F440" t="s">
        <v>27</v>
      </c>
      <c r="G440" t="s">
        <v>20</v>
      </c>
      <c r="H440">
        <v>1</v>
      </c>
      <c r="I440">
        <v>187.97</v>
      </c>
      <c r="J440">
        <v>0.05</v>
      </c>
      <c r="K440">
        <v>178.57</v>
      </c>
      <c r="L440">
        <v>110</v>
      </c>
      <c r="M440">
        <v>68.569999999999993</v>
      </c>
      <c r="N440" t="s">
        <v>21</v>
      </c>
      <c r="O440" t="s">
        <v>42</v>
      </c>
    </row>
    <row r="441" spans="1:15" x14ac:dyDescent="0.35">
      <c r="A441" t="s">
        <v>718</v>
      </c>
      <c r="B441" s="1">
        <v>45785</v>
      </c>
      <c r="C441" t="s">
        <v>719</v>
      </c>
      <c r="D441" t="s">
        <v>31</v>
      </c>
      <c r="E441" t="s">
        <v>32</v>
      </c>
      <c r="F441" t="s">
        <v>27</v>
      </c>
      <c r="G441" t="s">
        <v>20</v>
      </c>
      <c r="H441">
        <v>3</v>
      </c>
      <c r="I441">
        <v>192.55</v>
      </c>
      <c r="J441">
        <v>0</v>
      </c>
      <c r="K441">
        <v>577.65</v>
      </c>
      <c r="L441">
        <v>330</v>
      </c>
      <c r="M441">
        <v>247.65</v>
      </c>
      <c r="N441" t="s">
        <v>47</v>
      </c>
      <c r="O441" t="s">
        <v>28</v>
      </c>
    </row>
    <row r="442" spans="1:15" x14ac:dyDescent="0.35">
      <c r="A442" t="s">
        <v>720</v>
      </c>
      <c r="B442" s="1">
        <v>45970</v>
      </c>
      <c r="C442" t="s">
        <v>721</v>
      </c>
      <c r="D442" t="s">
        <v>45</v>
      </c>
      <c r="E442" t="s">
        <v>46</v>
      </c>
      <c r="F442" t="s">
        <v>108</v>
      </c>
      <c r="G442" t="s">
        <v>37</v>
      </c>
      <c r="H442">
        <v>2</v>
      </c>
      <c r="I442">
        <v>409.41</v>
      </c>
      <c r="J442">
        <v>0</v>
      </c>
      <c r="K442">
        <v>818.82</v>
      </c>
      <c r="L442">
        <v>560</v>
      </c>
      <c r="M442">
        <v>258.82</v>
      </c>
      <c r="N442" t="s">
        <v>38</v>
      </c>
      <c r="O442" t="s">
        <v>42</v>
      </c>
    </row>
    <row r="443" spans="1:15" x14ac:dyDescent="0.35">
      <c r="A443" t="s">
        <v>722</v>
      </c>
      <c r="B443" s="1">
        <v>45763</v>
      </c>
      <c r="C443" t="s">
        <v>324</v>
      </c>
      <c r="D443" t="s">
        <v>45</v>
      </c>
      <c r="E443" t="s">
        <v>46</v>
      </c>
      <c r="F443" t="s">
        <v>51</v>
      </c>
      <c r="G443" t="s">
        <v>37</v>
      </c>
      <c r="H443">
        <v>2</v>
      </c>
      <c r="I443">
        <v>258.87</v>
      </c>
      <c r="J443">
        <v>0.1</v>
      </c>
      <c r="K443">
        <v>465.97</v>
      </c>
      <c r="L443">
        <v>300</v>
      </c>
      <c r="M443">
        <v>165.97</v>
      </c>
      <c r="N443" t="s">
        <v>21</v>
      </c>
      <c r="O443" t="s">
        <v>28</v>
      </c>
    </row>
    <row r="444" spans="1:15" x14ac:dyDescent="0.35">
      <c r="A444" t="s">
        <v>723</v>
      </c>
      <c r="B444" s="1">
        <v>45739</v>
      </c>
      <c r="C444" t="s">
        <v>55</v>
      </c>
      <c r="D444" t="s">
        <v>50</v>
      </c>
      <c r="E444" t="s">
        <v>32</v>
      </c>
      <c r="F444" t="s">
        <v>27</v>
      </c>
      <c r="G444" t="s">
        <v>20</v>
      </c>
      <c r="H444">
        <v>3</v>
      </c>
      <c r="I444">
        <v>197.47</v>
      </c>
      <c r="J444">
        <v>0.05</v>
      </c>
      <c r="K444">
        <v>562.79</v>
      </c>
      <c r="L444">
        <v>330</v>
      </c>
      <c r="M444">
        <v>232.79</v>
      </c>
      <c r="N444" t="s">
        <v>33</v>
      </c>
      <c r="O444" t="s">
        <v>28</v>
      </c>
    </row>
    <row r="445" spans="1:15" x14ac:dyDescent="0.35">
      <c r="A445" t="s">
        <v>724</v>
      </c>
      <c r="B445" s="1">
        <v>45952</v>
      </c>
      <c r="C445" t="s">
        <v>719</v>
      </c>
      <c r="D445" t="s">
        <v>17</v>
      </c>
      <c r="E445" t="s">
        <v>18</v>
      </c>
      <c r="F445" t="s">
        <v>36</v>
      </c>
      <c r="G445" t="s">
        <v>37</v>
      </c>
      <c r="H445">
        <v>4</v>
      </c>
      <c r="I445">
        <v>117.06</v>
      </c>
      <c r="J445">
        <v>0</v>
      </c>
      <c r="K445">
        <v>468.24</v>
      </c>
      <c r="L445">
        <v>240</v>
      </c>
      <c r="M445">
        <v>228.24</v>
      </c>
      <c r="N445" t="s">
        <v>21</v>
      </c>
      <c r="O445" t="s">
        <v>42</v>
      </c>
    </row>
    <row r="446" spans="1:15" x14ac:dyDescent="0.35">
      <c r="A446" t="s">
        <v>725</v>
      </c>
      <c r="B446" s="1">
        <v>45845</v>
      </c>
      <c r="C446" t="s">
        <v>139</v>
      </c>
      <c r="D446" t="s">
        <v>66</v>
      </c>
      <c r="E446" t="s">
        <v>61</v>
      </c>
      <c r="F446" t="s">
        <v>78</v>
      </c>
      <c r="G446" t="s">
        <v>20</v>
      </c>
      <c r="H446">
        <v>3</v>
      </c>
      <c r="I446">
        <v>332.1</v>
      </c>
      <c r="J446">
        <v>0</v>
      </c>
      <c r="K446">
        <v>996.3</v>
      </c>
      <c r="L446">
        <v>600</v>
      </c>
      <c r="M446">
        <v>396.3</v>
      </c>
      <c r="N446" t="s">
        <v>21</v>
      </c>
      <c r="O446" t="s">
        <v>42</v>
      </c>
    </row>
    <row r="447" spans="1:15" x14ac:dyDescent="0.35">
      <c r="A447" t="s">
        <v>726</v>
      </c>
      <c r="B447" s="1">
        <v>45877</v>
      </c>
      <c r="C447" t="s">
        <v>407</v>
      </c>
      <c r="D447" t="s">
        <v>50</v>
      </c>
      <c r="E447" t="s">
        <v>32</v>
      </c>
      <c r="F447" t="s">
        <v>78</v>
      </c>
      <c r="G447" t="s">
        <v>20</v>
      </c>
      <c r="H447">
        <v>4</v>
      </c>
      <c r="I447">
        <v>325.93</v>
      </c>
      <c r="J447">
        <v>0.05</v>
      </c>
      <c r="K447">
        <v>1238.53</v>
      </c>
      <c r="L447">
        <v>800</v>
      </c>
      <c r="M447">
        <v>438.53</v>
      </c>
      <c r="N447" t="s">
        <v>47</v>
      </c>
      <c r="O447" t="s">
        <v>42</v>
      </c>
    </row>
    <row r="448" spans="1:15" x14ac:dyDescent="0.35">
      <c r="A448" t="s">
        <v>727</v>
      </c>
      <c r="B448" s="1">
        <v>45904</v>
      </c>
      <c r="C448" t="s">
        <v>170</v>
      </c>
      <c r="D448" t="s">
        <v>25</v>
      </c>
      <c r="E448" t="s">
        <v>26</v>
      </c>
      <c r="F448" t="s">
        <v>78</v>
      </c>
      <c r="G448" t="s">
        <v>20</v>
      </c>
      <c r="H448">
        <v>1</v>
      </c>
      <c r="I448">
        <v>342.45</v>
      </c>
      <c r="J448">
        <v>0</v>
      </c>
      <c r="K448">
        <v>342.45</v>
      </c>
      <c r="L448">
        <v>200</v>
      </c>
      <c r="M448">
        <v>142.44999999999999</v>
      </c>
      <c r="N448" t="s">
        <v>21</v>
      </c>
      <c r="O448" t="s">
        <v>42</v>
      </c>
    </row>
    <row r="449" spans="1:15" x14ac:dyDescent="0.35">
      <c r="A449" t="s">
        <v>728</v>
      </c>
      <c r="B449" s="1">
        <v>46006</v>
      </c>
      <c r="C449" t="s">
        <v>729</v>
      </c>
      <c r="D449" t="s">
        <v>45</v>
      </c>
      <c r="E449" t="s">
        <v>46</v>
      </c>
      <c r="F449" t="s">
        <v>19</v>
      </c>
      <c r="G449" t="s">
        <v>20</v>
      </c>
      <c r="H449">
        <v>1</v>
      </c>
      <c r="I449">
        <v>269.13</v>
      </c>
      <c r="J449">
        <v>0.05</v>
      </c>
      <c r="K449">
        <v>255.67</v>
      </c>
      <c r="L449">
        <v>170</v>
      </c>
      <c r="M449">
        <v>85.67</v>
      </c>
      <c r="N449" t="s">
        <v>47</v>
      </c>
      <c r="O449" t="s">
        <v>42</v>
      </c>
    </row>
    <row r="450" spans="1:15" x14ac:dyDescent="0.35">
      <c r="A450" t="s">
        <v>730</v>
      </c>
      <c r="B450" s="1">
        <v>45702</v>
      </c>
      <c r="C450" t="s">
        <v>266</v>
      </c>
      <c r="D450" t="s">
        <v>45</v>
      </c>
      <c r="E450" t="s">
        <v>46</v>
      </c>
      <c r="F450" t="s">
        <v>108</v>
      </c>
      <c r="G450" t="s">
        <v>37</v>
      </c>
      <c r="H450">
        <v>4</v>
      </c>
      <c r="I450">
        <v>439.96</v>
      </c>
      <c r="J450">
        <v>0.05</v>
      </c>
      <c r="K450">
        <v>1671.85</v>
      </c>
      <c r="L450">
        <v>1120</v>
      </c>
      <c r="M450">
        <v>551.85</v>
      </c>
      <c r="N450" t="s">
        <v>47</v>
      </c>
      <c r="O450" t="s">
        <v>28</v>
      </c>
    </row>
    <row r="451" spans="1:15" x14ac:dyDescent="0.35">
      <c r="A451" t="s">
        <v>731</v>
      </c>
      <c r="B451" s="1">
        <v>45715</v>
      </c>
      <c r="C451" t="s">
        <v>460</v>
      </c>
      <c r="D451" t="s">
        <v>25</v>
      </c>
      <c r="E451" t="s">
        <v>26</v>
      </c>
      <c r="F451" t="s">
        <v>108</v>
      </c>
      <c r="G451" t="s">
        <v>37</v>
      </c>
      <c r="H451">
        <v>5</v>
      </c>
      <c r="I451">
        <v>432.3</v>
      </c>
      <c r="J451">
        <v>0.15</v>
      </c>
      <c r="K451">
        <v>1837.28</v>
      </c>
      <c r="L451">
        <v>1400</v>
      </c>
      <c r="M451">
        <v>437.28</v>
      </c>
      <c r="N451" t="s">
        <v>47</v>
      </c>
      <c r="O451" t="s">
        <v>28</v>
      </c>
    </row>
    <row r="452" spans="1:15" x14ac:dyDescent="0.35">
      <c r="A452" t="s">
        <v>732</v>
      </c>
      <c r="B452" s="1">
        <v>45813</v>
      </c>
      <c r="C452" t="s">
        <v>733</v>
      </c>
      <c r="D452" t="s">
        <v>60</v>
      </c>
      <c r="E452" t="s">
        <v>61</v>
      </c>
      <c r="F452" t="s">
        <v>19</v>
      </c>
      <c r="G452" t="s">
        <v>20</v>
      </c>
      <c r="H452">
        <v>1</v>
      </c>
      <c r="I452">
        <v>276.62</v>
      </c>
      <c r="J452">
        <v>0.05</v>
      </c>
      <c r="K452">
        <v>262.79000000000002</v>
      </c>
      <c r="L452">
        <v>170</v>
      </c>
      <c r="M452">
        <v>92.79</v>
      </c>
      <c r="N452" t="s">
        <v>33</v>
      </c>
      <c r="O452" t="s">
        <v>42</v>
      </c>
    </row>
    <row r="453" spans="1:15" x14ac:dyDescent="0.35">
      <c r="A453" t="s">
        <v>734</v>
      </c>
      <c r="B453" s="1">
        <v>45878</v>
      </c>
      <c r="C453" t="s">
        <v>667</v>
      </c>
      <c r="D453" t="s">
        <v>31</v>
      </c>
      <c r="E453" t="s">
        <v>32</v>
      </c>
      <c r="F453" t="s">
        <v>78</v>
      </c>
      <c r="G453" t="s">
        <v>20</v>
      </c>
      <c r="H453">
        <v>2</v>
      </c>
      <c r="I453">
        <v>340.98</v>
      </c>
      <c r="J453">
        <v>0.05</v>
      </c>
      <c r="K453">
        <v>647.86</v>
      </c>
      <c r="L453">
        <v>400</v>
      </c>
      <c r="M453">
        <v>247.86</v>
      </c>
      <c r="N453" t="s">
        <v>38</v>
      </c>
      <c r="O453" t="s">
        <v>28</v>
      </c>
    </row>
    <row r="454" spans="1:15" x14ac:dyDescent="0.35">
      <c r="A454" t="s">
        <v>735</v>
      </c>
      <c r="B454" s="1">
        <v>45800</v>
      </c>
      <c r="C454" t="s">
        <v>736</v>
      </c>
      <c r="D454" t="s">
        <v>60</v>
      </c>
      <c r="E454" t="s">
        <v>61</v>
      </c>
      <c r="F454" t="s">
        <v>67</v>
      </c>
      <c r="G454" t="s">
        <v>37</v>
      </c>
      <c r="H454">
        <v>2</v>
      </c>
      <c r="I454">
        <v>71.739999999999995</v>
      </c>
      <c r="J454">
        <v>0.05</v>
      </c>
      <c r="K454">
        <v>136.31</v>
      </c>
      <c r="L454">
        <v>80</v>
      </c>
      <c r="M454">
        <v>56.31</v>
      </c>
      <c r="N454" t="s">
        <v>47</v>
      </c>
      <c r="O454" t="s">
        <v>28</v>
      </c>
    </row>
    <row r="455" spans="1:15" x14ac:dyDescent="0.35">
      <c r="A455" t="s">
        <v>737</v>
      </c>
      <c r="B455" s="1">
        <v>45839</v>
      </c>
      <c r="C455" t="s">
        <v>379</v>
      </c>
      <c r="D455" t="s">
        <v>45</v>
      </c>
      <c r="E455" t="s">
        <v>46</v>
      </c>
      <c r="F455" t="s">
        <v>41</v>
      </c>
      <c r="G455" t="s">
        <v>37</v>
      </c>
      <c r="H455">
        <v>4</v>
      </c>
      <c r="I455">
        <v>831.31</v>
      </c>
      <c r="J455">
        <v>0.1</v>
      </c>
      <c r="K455">
        <v>2992.72</v>
      </c>
      <c r="L455">
        <v>2400</v>
      </c>
      <c r="M455">
        <v>592.72</v>
      </c>
      <c r="N455" t="s">
        <v>38</v>
      </c>
      <c r="O455" t="s">
        <v>28</v>
      </c>
    </row>
    <row r="456" spans="1:15" x14ac:dyDescent="0.35">
      <c r="A456" t="s">
        <v>738</v>
      </c>
      <c r="B456" s="1">
        <v>45729</v>
      </c>
      <c r="C456" t="s">
        <v>739</v>
      </c>
      <c r="D456" t="s">
        <v>58</v>
      </c>
      <c r="E456" t="s">
        <v>18</v>
      </c>
      <c r="F456" t="s">
        <v>78</v>
      </c>
      <c r="G456" t="s">
        <v>20</v>
      </c>
      <c r="H456">
        <v>3</v>
      </c>
      <c r="I456">
        <v>317.19</v>
      </c>
      <c r="J456">
        <v>0.05</v>
      </c>
      <c r="K456">
        <v>903.99</v>
      </c>
      <c r="L456">
        <v>600</v>
      </c>
      <c r="M456">
        <v>303.99</v>
      </c>
      <c r="N456" t="s">
        <v>47</v>
      </c>
      <c r="O456" t="s">
        <v>42</v>
      </c>
    </row>
    <row r="457" spans="1:15" x14ac:dyDescent="0.35">
      <c r="A457" t="s">
        <v>740</v>
      </c>
      <c r="B457" s="1">
        <v>45878</v>
      </c>
      <c r="C457" t="s">
        <v>291</v>
      </c>
      <c r="D457" t="s">
        <v>50</v>
      </c>
      <c r="E457" t="s">
        <v>32</v>
      </c>
      <c r="F457" t="s">
        <v>19</v>
      </c>
      <c r="G457" t="s">
        <v>20</v>
      </c>
      <c r="H457">
        <v>4</v>
      </c>
      <c r="I457">
        <v>274.33</v>
      </c>
      <c r="J457">
        <v>0.15</v>
      </c>
      <c r="K457">
        <v>932.72</v>
      </c>
      <c r="L457">
        <v>680</v>
      </c>
      <c r="M457">
        <v>252.72</v>
      </c>
      <c r="N457" t="s">
        <v>38</v>
      </c>
      <c r="O457" t="s">
        <v>28</v>
      </c>
    </row>
    <row r="458" spans="1:15" x14ac:dyDescent="0.35">
      <c r="A458" t="s">
        <v>741</v>
      </c>
      <c r="B458" s="1">
        <v>45857</v>
      </c>
      <c r="C458" t="s">
        <v>549</v>
      </c>
      <c r="D458" t="s">
        <v>60</v>
      </c>
      <c r="E458" t="s">
        <v>61</v>
      </c>
      <c r="F458" t="s">
        <v>41</v>
      </c>
      <c r="G458" t="s">
        <v>37</v>
      </c>
      <c r="H458">
        <v>1</v>
      </c>
      <c r="I458">
        <v>810.83</v>
      </c>
      <c r="J458">
        <v>0</v>
      </c>
      <c r="K458">
        <v>810.83</v>
      </c>
      <c r="L458">
        <v>600</v>
      </c>
      <c r="M458">
        <v>210.83</v>
      </c>
      <c r="N458" t="s">
        <v>38</v>
      </c>
      <c r="O458" t="s">
        <v>22</v>
      </c>
    </row>
    <row r="459" spans="1:15" x14ac:dyDescent="0.35">
      <c r="A459" t="s">
        <v>742</v>
      </c>
      <c r="B459" s="1">
        <v>45813</v>
      </c>
      <c r="C459" t="s">
        <v>743</v>
      </c>
      <c r="D459" t="s">
        <v>58</v>
      </c>
      <c r="E459" t="s">
        <v>18</v>
      </c>
      <c r="F459" t="s">
        <v>41</v>
      </c>
      <c r="G459" t="s">
        <v>37</v>
      </c>
      <c r="H459">
        <v>3</v>
      </c>
      <c r="I459">
        <v>840.17</v>
      </c>
      <c r="J459">
        <v>0</v>
      </c>
      <c r="K459">
        <v>2520.5100000000002</v>
      </c>
      <c r="L459">
        <v>1800</v>
      </c>
      <c r="M459">
        <v>720.51</v>
      </c>
      <c r="N459" t="s">
        <v>47</v>
      </c>
      <c r="O459" t="s">
        <v>28</v>
      </c>
    </row>
    <row r="460" spans="1:15" x14ac:dyDescent="0.35">
      <c r="A460" t="s">
        <v>744</v>
      </c>
      <c r="B460" s="1">
        <v>45871</v>
      </c>
      <c r="C460" t="s">
        <v>160</v>
      </c>
      <c r="D460" t="s">
        <v>66</v>
      </c>
      <c r="E460" t="s">
        <v>61</v>
      </c>
      <c r="F460" t="s">
        <v>41</v>
      </c>
      <c r="G460" t="s">
        <v>37</v>
      </c>
      <c r="H460">
        <v>2</v>
      </c>
      <c r="I460">
        <v>808.64</v>
      </c>
      <c r="J460">
        <v>0.15</v>
      </c>
      <c r="K460">
        <v>1374.69</v>
      </c>
      <c r="L460">
        <v>1200</v>
      </c>
      <c r="M460">
        <v>174.69</v>
      </c>
      <c r="N460" t="s">
        <v>21</v>
      </c>
      <c r="O460" t="s">
        <v>28</v>
      </c>
    </row>
    <row r="461" spans="1:15" x14ac:dyDescent="0.35">
      <c r="A461" t="s">
        <v>745</v>
      </c>
      <c r="B461" s="1">
        <v>45740</v>
      </c>
      <c r="C461" t="s">
        <v>268</v>
      </c>
      <c r="D461" t="s">
        <v>66</v>
      </c>
      <c r="E461" t="s">
        <v>61</v>
      </c>
      <c r="F461" t="s">
        <v>67</v>
      </c>
      <c r="G461" t="s">
        <v>37</v>
      </c>
      <c r="H461">
        <v>2</v>
      </c>
      <c r="I461">
        <v>75.569999999999993</v>
      </c>
      <c r="J461">
        <v>0</v>
      </c>
      <c r="K461">
        <v>151.13999999999999</v>
      </c>
      <c r="L461">
        <v>80</v>
      </c>
      <c r="M461">
        <v>71.14</v>
      </c>
      <c r="N461" t="s">
        <v>21</v>
      </c>
      <c r="O461" t="s">
        <v>22</v>
      </c>
    </row>
    <row r="462" spans="1:15" x14ac:dyDescent="0.35">
      <c r="A462" t="s">
        <v>746</v>
      </c>
      <c r="B462" s="1">
        <v>45865</v>
      </c>
      <c r="C462" t="s">
        <v>131</v>
      </c>
      <c r="D462" t="s">
        <v>66</v>
      </c>
      <c r="E462" t="s">
        <v>61</v>
      </c>
      <c r="F462" t="s">
        <v>67</v>
      </c>
      <c r="G462" t="s">
        <v>37</v>
      </c>
      <c r="H462">
        <v>1</v>
      </c>
      <c r="I462">
        <v>73.59</v>
      </c>
      <c r="J462">
        <v>0</v>
      </c>
      <c r="K462">
        <v>73.59</v>
      </c>
      <c r="L462">
        <v>40</v>
      </c>
      <c r="M462">
        <v>33.590000000000003</v>
      </c>
      <c r="N462" t="s">
        <v>21</v>
      </c>
      <c r="O462" t="s">
        <v>22</v>
      </c>
    </row>
    <row r="463" spans="1:15" x14ac:dyDescent="0.35">
      <c r="A463" t="s">
        <v>747</v>
      </c>
      <c r="B463" s="1">
        <v>45682</v>
      </c>
      <c r="C463" t="s">
        <v>270</v>
      </c>
      <c r="D463" t="s">
        <v>45</v>
      </c>
      <c r="E463" t="s">
        <v>46</v>
      </c>
      <c r="F463" t="s">
        <v>108</v>
      </c>
      <c r="G463" t="s">
        <v>37</v>
      </c>
      <c r="H463">
        <v>1</v>
      </c>
      <c r="I463">
        <v>402.28</v>
      </c>
      <c r="J463">
        <v>0</v>
      </c>
      <c r="K463">
        <v>402.28</v>
      </c>
      <c r="L463">
        <v>280</v>
      </c>
      <c r="M463">
        <v>122.28</v>
      </c>
      <c r="N463" t="s">
        <v>38</v>
      </c>
      <c r="O463" t="s">
        <v>28</v>
      </c>
    </row>
    <row r="464" spans="1:15" x14ac:dyDescent="0.35">
      <c r="A464" t="s">
        <v>748</v>
      </c>
      <c r="B464" s="1">
        <v>45868</v>
      </c>
      <c r="C464" t="s">
        <v>554</v>
      </c>
      <c r="D464" t="s">
        <v>58</v>
      </c>
      <c r="E464" t="s">
        <v>18</v>
      </c>
      <c r="F464" t="s">
        <v>27</v>
      </c>
      <c r="G464" t="s">
        <v>20</v>
      </c>
      <c r="H464">
        <v>4</v>
      </c>
      <c r="I464">
        <v>181.87</v>
      </c>
      <c r="J464">
        <v>0.1</v>
      </c>
      <c r="K464">
        <v>654.73</v>
      </c>
      <c r="L464">
        <v>440</v>
      </c>
      <c r="M464">
        <v>214.73</v>
      </c>
      <c r="N464" t="s">
        <v>21</v>
      </c>
      <c r="O464" t="s">
        <v>42</v>
      </c>
    </row>
    <row r="465" spans="1:15" x14ac:dyDescent="0.35">
      <c r="A465" t="s">
        <v>749</v>
      </c>
      <c r="B465" s="1">
        <v>45939</v>
      </c>
      <c r="C465" t="s">
        <v>610</v>
      </c>
      <c r="D465" t="s">
        <v>45</v>
      </c>
      <c r="E465" t="s">
        <v>46</v>
      </c>
      <c r="F465" t="s">
        <v>108</v>
      </c>
      <c r="G465" t="s">
        <v>37</v>
      </c>
      <c r="H465">
        <v>4</v>
      </c>
      <c r="I465">
        <v>440.36</v>
      </c>
      <c r="J465">
        <v>0</v>
      </c>
      <c r="K465">
        <v>1761.44</v>
      </c>
      <c r="L465">
        <v>1120</v>
      </c>
      <c r="M465">
        <v>641.44000000000005</v>
      </c>
      <c r="N465" t="s">
        <v>21</v>
      </c>
      <c r="O465" t="s">
        <v>28</v>
      </c>
    </row>
    <row r="466" spans="1:15" x14ac:dyDescent="0.35">
      <c r="A466" t="s">
        <v>750</v>
      </c>
      <c r="B466" s="1">
        <v>45903</v>
      </c>
      <c r="C466" t="s">
        <v>113</v>
      </c>
      <c r="D466" t="s">
        <v>60</v>
      </c>
      <c r="E466" t="s">
        <v>61</v>
      </c>
      <c r="F466" t="s">
        <v>108</v>
      </c>
      <c r="G466" t="s">
        <v>37</v>
      </c>
      <c r="H466">
        <v>1</v>
      </c>
      <c r="I466">
        <v>422.48</v>
      </c>
      <c r="J466">
        <v>0</v>
      </c>
      <c r="K466">
        <v>422.48</v>
      </c>
      <c r="L466">
        <v>280</v>
      </c>
      <c r="M466">
        <v>142.47999999999999</v>
      </c>
      <c r="N466" t="s">
        <v>21</v>
      </c>
      <c r="O466" t="s">
        <v>42</v>
      </c>
    </row>
    <row r="467" spans="1:15" x14ac:dyDescent="0.35">
      <c r="A467" t="s">
        <v>751</v>
      </c>
      <c r="B467" s="1">
        <v>45951</v>
      </c>
      <c r="C467" t="s">
        <v>635</v>
      </c>
      <c r="D467" t="s">
        <v>50</v>
      </c>
      <c r="E467" t="s">
        <v>32</v>
      </c>
      <c r="F467" t="s">
        <v>51</v>
      </c>
      <c r="G467" t="s">
        <v>37</v>
      </c>
      <c r="H467">
        <v>5</v>
      </c>
      <c r="I467">
        <v>250.9</v>
      </c>
      <c r="J467">
        <v>0</v>
      </c>
      <c r="K467">
        <v>1254.5</v>
      </c>
      <c r="L467">
        <v>750</v>
      </c>
      <c r="M467">
        <v>504.5</v>
      </c>
      <c r="N467" t="s">
        <v>33</v>
      </c>
      <c r="O467" t="s">
        <v>28</v>
      </c>
    </row>
    <row r="468" spans="1:15" x14ac:dyDescent="0.35">
      <c r="A468" t="s">
        <v>752</v>
      </c>
      <c r="B468" s="1">
        <v>45960</v>
      </c>
      <c r="C468" t="s">
        <v>488</v>
      </c>
      <c r="D468" t="s">
        <v>45</v>
      </c>
      <c r="E468" t="s">
        <v>46</v>
      </c>
      <c r="F468" t="s">
        <v>67</v>
      </c>
      <c r="G468" t="s">
        <v>37</v>
      </c>
      <c r="H468">
        <v>3</v>
      </c>
      <c r="I468">
        <v>79.760000000000005</v>
      </c>
      <c r="J468">
        <v>0</v>
      </c>
      <c r="K468">
        <v>239.28</v>
      </c>
      <c r="L468">
        <v>120</v>
      </c>
      <c r="M468">
        <v>119.28</v>
      </c>
      <c r="N468" t="s">
        <v>38</v>
      </c>
      <c r="O468" t="s">
        <v>28</v>
      </c>
    </row>
    <row r="469" spans="1:15" x14ac:dyDescent="0.35">
      <c r="A469" t="s">
        <v>753</v>
      </c>
      <c r="B469" s="1">
        <v>45795</v>
      </c>
      <c r="C469" t="s">
        <v>57</v>
      </c>
      <c r="D469" t="s">
        <v>60</v>
      </c>
      <c r="E469" t="s">
        <v>61</v>
      </c>
      <c r="F469" t="s">
        <v>67</v>
      </c>
      <c r="G469" t="s">
        <v>37</v>
      </c>
      <c r="H469">
        <v>1</v>
      </c>
      <c r="I469">
        <v>79.06</v>
      </c>
      <c r="J469">
        <v>0.1</v>
      </c>
      <c r="K469">
        <v>71.150000000000006</v>
      </c>
      <c r="L469">
        <v>40</v>
      </c>
      <c r="M469">
        <v>31.15</v>
      </c>
      <c r="N469" t="s">
        <v>47</v>
      </c>
      <c r="O469" t="s">
        <v>28</v>
      </c>
    </row>
    <row r="470" spans="1:15" x14ac:dyDescent="0.35">
      <c r="A470" t="s">
        <v>754</v>
      </c>
      <c r="B470" s="1">
        <v>45713</v>
      </c>
      <c r="C470" t="s">
        <v>599</v>
      </c>
      <c r="D470" t="s">
        <v>58</v>
      </c>
      <c r="E470" t="s">
        <v>18</v>
      </c>
      <c r="F470" t="s">
        <v>19</v>
      </c>
      <c r="G470" t="s">
        <v>20</v>
      </c>
      <c r="H470">
        <v>3</v>
      </c>
      <c r="I470">
        <v>293.27</v>
      </c>
      <c r="J470">
        <v>0</v>
      </c>
      <c r="K470">
        <v>879.81</v>
      </c>
      <c r="L470">
        <v>510</v>
      </c>
      <c r="M470">
        <v>369.81</v>
      </c>
      <c r="N470" t="s">
        <v>38</v>
      </c>
      <c r="O470" t="s">
        <v>42</v>
      </c>
    </row>
    <row r="471" spans="1:15" x14ac:dyDescent="0.35">
      <c r="A471" t="s">
        <v>755</v>
      </c>
      <c r="B471" s="1">
        <v>45924</v>
      </c>
      <c r="C471" t="s">
        <v>199</v>
      </c>
      <c r="D471" t="s">
        <v>17</v>
      </c>
      <c r="E471" t="s">
        <v>18</v>
      </c>
      <c r="F471" t="s">
        <v>67</v>
      </c>
      <c r="G471" t="s">
        <v>37</v>
      </c>
      <c r="H471">
        <v>1</v>
      </c>
      <c r="I471">
        <v>76.790000000000006</v>
      </c>
      <c r="J471">
        <v>0</v>
      </c>
      <c r="K471">
        <v>76.790000000000006</v>
      </c>
      <c r="L471">
        <v>40</v>
      </c>
      <c r="M471">
        <v>36.79</v>
      </c>
      <c r="N471" t="s">
        <v>33</v>
      </c>
      <c r="O471" t="s">
        <v>28</v>
      </c>
    </row>
    <row r="472" spans="1:15" x14ac:dyDescent="0.35">
      <c r="A472" t="s">
        <v>756</v>
      </c>
      <c r="B472" s="1">
        <v>45819</v>
      </c>
      <c r="C472" t="s">
        <v>482</v>
      </c>
      <c r="D472" t="s">
        <v>45</v>
      </c>
      <c r="E472" t="s">
        <v>46</v>
      </c>
      <c r="F472" t="s">
        <v>51</v>
      </c>
      <c r="G472" t="s">
        <v>37</v>
      </c>
      <c r="H472">
        <v>1</v>
      </c>
      <c r="I472">
        <v>242.29</v>
      </c>
      <c r="J472">
        <v>0.05</v>
      </c>
      <c r="K472">
        <v>230.18</v>
      </c>
      <c r="L472">
        <v>150</v>
      </c>
      <c r="M472">
        <v>80.180000000000007</v>
      </c>
      <c r="N472" t="s">
        <v>47</v>
      </c>
      <c r="O472" t="s">
        <v>28</v>
      </c>
    </row>
    <row r="473" spans="1:15" x14ac:dyDescent="0.35">
      <c r="A473" t="s">
        <v>757</v>
      </c>
      <c r="B473" s="1">
        <v>45848</v>
      </c>
      <c r="C473" t="s">
        <v>344</v>
      </c>
      <c r="D473" t="s">
        <v>66</v>
      </c>
      <c r="E473" t="s">
        <v>61</v>
      </c>
      <c r="F473" t="s">
        <v>78</v>
      </c>
      <c r="G473" t="s">
        <v>20</v>
      </c>
      <c r="H473">
        <v>5</v>
      </c>
      <c r="I473">
        <v>311.98</v>
      </c>
      <c r="J473">
        <v>0.1</v>
      </c>
      <c r="K473">
        <v>1403.91</v>
      </c>
      <c r="L473">
        <v>1000</v>
      </c>
      <c r="M473">
        <v>403.91</v>
      </c>
      <c r="N473" t="s">
        <v>38</v>
      </c>
      <c r="O473" t="s">
        <v>28</v>
      </c>
    </row>
    <row r="474" spans="1:15" x14ac:dyDescent="0.35">
      <c r="A474" t="s">
        <v>758</v>
      </c>
      <c r="B474" s="1">
        <v>45930</v>
      </c>
      <c r="C474" t="s">
        <v>678</v>
      </c>
      <c r="D474" t="s">
        <v>60</v>
      </c>
      <c r="E474" t="s">
        <v>61</v>
      </c>
      <c r="F474" t="s">
        <v>78</v>
      </c>
      <c r="G474" t="s">
        <v>20</v>
      </c>
      <c r="H474">
        <v>1</v>
      </c>
      <c r="I474">
        <v>328.47</v>
      </c>
      <c r="J474">
        <v>0</v>
      </c>
      <c r="K474">
        <v>328.47</v>
      </c>
      <c r="L474">
        <v>200</v>
      </c>
      <c r="M474">
        <v>128.47</v>
      </c>
      <c r="N474" t="s">
        <v>33</v>
      </c>
      <c r="O474" t="s">
        <v>28</v>
      </c>
    </row>
    <row r="475" spans="1:15" x14ac:dyDescent="0.35">
      <c r="A475" t="s">
        <v>759</v>
      </c>
      <c r="B475" s="1">
        <v>45896</v>
      </c>
      <c r="C475" t="s">
        <v>388</v>
      </c>
      <c r="D475" t="s">
        <v>25</v>
      </c>
      <c r="E475" t="s">
        <v>26</v>
      </c>
      <c r="F475" t="s">
        <v>19</v>
      </c>
      <c r="G475" t="s">
        <v>20</v>
      </c>
      <c r="H475">
        <v>3</v>
      </c>
      <c r="I475">
        <v>289.19</v>
      </c>
      <c r="J475">
        <v>0.1</v>
      </c>
      <c r="K475">
        <v>780.81</v>
      </c>
      <c r="L475">
        <v>510</v>
      </c>
      <c r="M475">
        <v>270.81</v>
      </c>
      <c r="N475" t="s">
        <v>21</v>
      </c>
      <c r="O475" t="s">
        <v>22</v>
      </c>
    </row>
    <row r="476" spans="1:15" x14ac:dyDescent="0.35">
      <c r="A476" t="s">
        <v>760</v>
      </c>
      <c r="B476" s="1">
        <v>45962</v>
      </c>
      <c r="C476" t="s">
        <v>761</v>
      </c>
      <c r="D476" t="s">
        <v>45</v>
      </c>
      <c r="E476" t="s">
        <v>46</v>
      </c>
      <c r="F476" t="s">
        <v>41</v>
      </c>
      <c r="G476" t="s">
        <v>37</v>
      </c>
      <c r="H476">
        <v>3</v>
      </c>
      <c r="I476">
        <v>841.95</v>
      </c>
      <c r="J476">
        <v>0.15</v>
      </c>
      <c r="K476">
        <v>2146.9699999999998</v>
      </c>
      <c r="L476">
        <v>1800</v>
      </c>
      <c r="M476">
        <v>346.97</v>
      </c>
      <c r="N476" t="s">
        <v>38</v>
      </c>
      <c r="O476" t="s">
        <v>42</v>
      </c>
    </row>
    <row r="477" spans="1:15" x14ac:dyDescent="0.35">
      <c r="A477" t="s">
        <v>762</v>
      </c>
      <c r="B477" s="1">
        <v>45930</v>
      </c>
      <c r="C477" t="s">
        <v>554</v>
      </c>
      <c r="D477" t="s">
        <v>60</v>
      </c>
      <c r="E477" t="s">
        <v>61</v>
      </c>
      <c r="F477" t="s">
        <v>78</v>
      </c>
      <c r="G477" t="s">
        <v>20</v>
      </c>
      <c r="H477">
        <v>4</v>
      </c>
      <c r="I477">
        <v>318.85000000000002</v>
      </c>
      <c r="J477">
        <v>0</v>
      </c>
      <c r="K477">
        <v>1275.4000000000001</v>
      </c>
      <c r="L477">
        <v>800</v>
      </c>
      <c r="M477">
        <v>475.4</v>
      </c>
      <c r="N477" t="s">
        <v>38</v>
      </c>
      <c r="O477" t="s">
        <v>28</v>
      </c>
    </row>
    <row r="478" spans="1:15" x14ac:dyDescent="0.35">
      <c r="A478" t="s">
        <v>763</v>
      </c>
      <c r="B478" s="1">
        <v>45994</v>
      </c>
      <c r="C478" t="s">
        <v>255</v>
      </c>
      <c r="D478" t="s">
        <v>58</v>
      </c>
      <c r="E478" t="s">
        <v>18</v>
      </c>
      <c r="F478" t="s">
        <v>36</v>
      </c>
      <c r="G478" t="s">
        <v>37</v>
      </c>
      <c r="H478">
        <v>1</v>
      </c>
      <c r="I478">
        <v>128.66999999999999</v>
      </c>
      <c r="J478">
        <v>0.05</v>
      </c>
      <c r="K478">
        <v>122.24</v>
      </c>
      <c r="L478">
        <v>60</v>
      </c>
      <c r="M478">
        <v>62.24</v>
      </c>
      <c r="N478" t="s">
        <v>21</v>
      </c>
      <c r="O478" t="s">
        <v>28</v>
      </c>
    </row>
    <row r="479" spans="1:15" x14ac:dyDescent="0.35">
      <c r="A479" t="s">
        <v>764</v>
      </c>
      <c r="B479" s="1">
        <v>45984</v>
      </c>
      <c r="C479" t="s">
        <v>101</v>
      </c>
      <c r="D479" t="s">
        <v>58</v>
      </c>
      <c r="E479" t="s">
        <v>18</v>
      </c>
      <c r="F479" t="s">
        <v>108</v>
      </c>
      <c r="G479" t="s">
        <v>37</v>
      </c>
      <c r="H479">
        <v>1</v>
      </c>
      <c r="I479">
        <v>421.56</v>
      </c>
      <c r="J479">
        <v>0</v>
      </c>
      <c r="K479">
        <v>421.56</v>
      </c>
      <c r="L479">
        <v>280</v>
      </c>
      <c r="M479">
        <v>141.56</v>
      </c>
      <c r="N479" t="s">
        <v>21</v>
      </c>
      <c r="O479" t="s">
        <v>28</v>
      </c>
    </row>
    <row r="480" spans="1:15" x14ac:dyDescent="0.35">
      <c r="A480" t="s">
        <v>765</v>
      </c>
      <c r="B480" s="1">
        <v>45981</v>
      </c>
      <c r="C480" t="s">
        <v>259</v>
      </c>
      <c r="D480" t="s">
        <v>25</v>
      </c>
      <c r="E480" t="s">
        <v>26</v>
      </c>
      <c r="F480" t="s">
        <v>36</v>
      </c>
      <c r="G480" t="s">
        <v>37</v>
      </c>
      <c r="H480">
        <v>1</v>
      </c>
      <c r="I480">
        <v>116.44</v>
      </c>
      <c r="J480">
        <v>0.15</v>
      </c>
      <c r="K480">
        <v>98.97</v>
      </c>
      <c r="L480">
        <v>60</v>
      </c>
      <c r="M480">
        <v>38.97</v>
      </c>
      <c r="N480" t="s">
        <v>47</v>
      </c>
      <c r="O480" t="s">
        <v>28</v>
      </c>
    </row>
    <row r="481" spans="1:15" x14ac:dyDescent="0.35">
      <c r="A481" t="s">
        <v>766</v>
      </c>
      <c r="B481" s="1">
        <v>45937</v>
      </c>
      <c r="C481" t="s">
        <v>288</v>
      </c>
      <c r="D481" t="s">
        <v>45</v>
      </c>
      <c r="E481" t="s">
        <v>46</v>
      </c>
      <c r="F481" t="s">
        <v>36</v>
      </c>
      <c r="G481" t="s">
        <v>37</v>
      </c>
      <c r="H481">
        <v>1</v>
      </c>
      <c r="I481">
        <v>127.05</v>
      </c>
      <c r="J481">
        <v>0</v>
      </c>
      <c r="K481">
        <v>127.05</v>
      </c>
      <c r="L481">
        <v>60</v>
      </c>
      <c r="M481">
        <v>67.05</v>
      </c>
      <c r="N481" t="s">
        <v>47</v>
      </c>
      <c r="O481" t="s">
        <v>28</v>
      </c>
    </row>
    <row r="482" spans="1:15" x14ac:dyDescent="0.35">
      <c r="A482" t="s">
        <v>767</v>
      </c>
      <c r="B482" s="1">
        <v>45782</v>
      </c>
      <c r="C482" t="s">
        <v>167</v>
      </c>
      <c r="D482" t="s">
        <v>60</v>
      </c>
      <c r="E482" t="s">
        <v>61</v>
      </c>
      <c r="F482" t="s">
        <v>27</v>
      </c>
      <c r="G482" t="s">
        <v>20</v>
      </c>
      <c r="H482">
        <v>2</v>
      </c>
      <c r="I482">
        <v>193.62</v>
      </c>
      <c r="J482">
        <v>0.1</v>
      </c>
      <c r="K482">
        <v>348.52</v>
      </c>
      <c r="L482">
        <v>220</v>
      </c>
      <c r="M482">
        <v>128.52000000000001</v>
      </c>
      <c r="N482" t="s">
        <v>47</v>
      </c>
      <c r="O482" t="s">
        <v>42</v>
      </c>
    </row>
    <row r="483" spans="1:15" x14ac:dyDescent="0.35">
      <c r="A483" t="s">
        <v>768</v>
      </c>
      <c r="B483" s="1">
        <v>45828</v>
      </c>
      <c r="C483" t="s">
        <v>466</v>
      </c>
      <c r="D483" t="s">
        <v>31</v>
      </c>
      <c r="E483" t="s">
        <v>32</v>
      </c>
      <c r="F483" t="s">
        <v>19</v>
      </c>
      <c r="G483" t="s">
        <v>20</v>
      </c>
      <c r="H483">
        <v>3</v>
      </c>
      <c r="I483">
        <v>294.97000000000003</v>
      </c>
      <c r="J483">
        <v>0</v>
      </c>
      <c r="K483">
        <v>884.91</v>
      </c>
      <c r="L483">
        <v>510</v>
      </c>
      <c r="M483">
        <v>374.91</v>
      </c>
      <c r="N483" t="s">
        <v>21</v>
      </c>
      <c r="O483" t="s">
        <v>22</v>
      </c>
    </row>
    <row r="484" spans="1:15" x14ac:dyDescent="0.35">
      <c r="A484" t="s">
        <v>769</v>
      </c>
      <c r="B484" s="1">
        <v>45945</v>
      </c>
      <c r="C484" t="s">
        <v>302</v>
      </c>
      <c r="D484" t="s">
        <v>66</v>
      </c>
      <c r="E484" t="s">
        <v>61</v>
      </c>
      <c r="F484" t="s">
        <v>108</v>
      </c>
      <c r="G484" t="s">
        <v>37</v>
      </c>
      <c r="H484">
        <v>1</v>
      </c>
      <c r="I484">
        <v>413.98</v>
      </c>
      <c r="J484">
        <v>0.05</v>
      </c>
      <c r="K484">
        <v>393.28</v>
      </c>
      <c r="L484">
        <v>280</v>
      </c>
      <c r="M484">
        <v>113.28</v>
      </c>
      <c r="N484" t="s">
        <v>21</v>
      </c>
      <c r="O484" t="s">
        <v>22</v>
      </c>
    </row>
    <row r="485" spans="1:15" x14ac:dyDescent="0.35">
      <c r="A485" t="s">
        <v>770</v>
      </c>
      <c r="B485" s="1">
        <v>45980</v>
      </c>
      <c r="C485" t="s">
        <v>160</v>
      </c>
      <c r="D485" t="s">
        <v>66</v>
      </c>
      <c r="E485" t="s">
        <v>61</v>
      </c>
      <c r="F485" t="s">
        <v>36</v>
      </c>
      <c r="G485" t="s">
        <v>37</v>
      </c>
      <c r="H485">
        <v>3</v>
      </c>
      <c r="I485">
        <v>119.06</v>
      </c>
      <c r="J485">
        <v>0.05</v>
      </c>
      <c r="K485">
        <v>339.32</v>
      </c>
      <c r="L485">
        <v>180</v>
      </c>
      <c r="M485">
        <v>159.32</v>
      </c>
      <c r="N485" t="s">
        <v>21</v>
      </c>
      <c r="O485" t="s">
        <v>22</v>
      </c>
    </row>
    <row r="486" spans="1:15" x14ac:dyDescent="0.35">
      <c r="A486" t="s">
        <v>771</v>
      </c>
      <c r="B486" s="1">
        <v>45948</v>
      </c>
      <c r="C486" t="s">
        <v>88</v>
      </c>
      <c r="D486" t="s">
        <v>31</v>
      </c>
      <c r="E486" t="s">
        <v>32</v>
      </c>
      <c r="F486" t="s">
        <v>41</v>
      </c>
      <c r="G486" t="s">
        <v>37</v>
      </c>
      <c r="H486">
        <v>2</v>
      </c>
      <c r="I486">
        <v>836.89</v>
      </c>
      <c r="J486">
        <v>0.1</v>
      </c>
      <c r="K486">
        <v>1506.4</v>
      </c>
      <c r="L486">
        <v>1200</v>
      </c>
      <c r="M486">
        <v>306.39999999999998</v>
      </c>
      <c r="N486" t="s">
        <v>33</v>
      </c>
      <c r="O486" t="s">
        <v>28</v>
      </c>
    </row>
    <row r="487" spans="1:15" x14ac:dyDescent="0.35">
      <c r="A487" t="s">
        <v>772</v>
      </c>
      <c r="B487" s="1">
        <v>45927</v>
      </c>
      <c r="C487" t="s">
        <v>458</v>
      </c>
      <c r="D487" t="s">
        <v>60</v>
      </c>
      <c r="E487" t="s">
        <v>61</v>
      </c>
      <c r="F487" t="s">
        <v>108</v>
      </c>
      <c r="G487" t="s">
        <v>37</v>
      </c>
      <c r="H487">
        <v>1</v>
      </c>
      <c r="I487">
        <v>408.89</v>
      </c>
      <c r="J487">
        <v>0.15</v>
      </c>
      <c r="K487">
        <v>347.56</v>
      </c>
      <c r="L487">
        <v>280</v>
      </c>
      <c r="M487">
        <v>67.56</v>
      </c>
      <c r="N487" t="s">
        <v>21</v>
      </c>
      <c r="O487" t="s">
        <v>28</v>
      </c>
    </row>
    <row r="488" spans="1:15" x14ac:dyDescent="0.35">
      <c r="A488" t="s">
        <v>773</v>
      </c>
      <c r="B488" s="1">
        <v>45913</v>
      </c>
      <c r="C488" t="s">
        <v>286</v>
      </c>
      <c r="D488" t="s">
        <v>45</v>
      </c>
      <c r="E488" t="s">
        <v>46</v>
      </c>
      <c r="F488" t="s">
        <v>78</v>
      </c>
      <c r="G488" t="s">
        <v>20</v>
      </c>
      <c r="H488">
        <v>4</v>
      </c>
      <c r="I488">
        <v>332.64</v>
      </c>
      <c r="J488">
        <v>0</v>
      </c>
      <c r="K488">
        <v>1330.56</v>
      </c>
      <c r="L488">
        <v>800</v>
      </c>
      <c r="M488">
        <v>530.55999999999995</v>
      </c>
      <c r="N488" t="s">
        <v>38</v>
      </c>
      <c r="O488" t="s">
        <v>42</v>
      </c>
    </row>
    <row r="489" spans="1:15" x14ac:dyDescent="0.35">
      <c r="A489" t="s">
        <v>774</v>
      </c>
      <c r="B489" s="1">
        <v>45971</v>
      </c>
      <c r="C489" t="s">
        <v>721</v>
      </c>
      <c r="D489" t="s">
        <v>31</v>
      </c>
      <c r="E489" t="s">
        <v>32</v>
      </c>
      <c r="F489" t="s">
        <v>51</v>
      </c>
      <c r="G489" t="s">
        <v>37</v>
      </c>
      <c r="H489">
        <v>4</v>
      </c>
      <c r="I489">
        <v>232.98</v>
      </c>
      <c r="J489">
        <v>0</v>
      </c>
      <c r="K489">
        <v>931.92</v>
      </c>
      <c r="L489">
        <v>600</v>
      </c>
      <c r="M489">
        <v>331.92</v>
      </c>
      <c r="N489" t="s">
        <v>21</v>
      </c>
      <c r="O489" t="s">
        <v>28</v>
      </c>
    </row>
    <row r="490" spans="1:15" x14ac:dyDescent="0.35">
      <c r="A490" t="s">
        <v>775</v>
      </c>
      <c r="B490" s="1">
        <v>45742</v>
      </c>
      <c r="C490" t="s">
        <v>264</v>
      </c>
      <c r="D490" t="s">
        <v>50</v>
      </c>
      <c r="E490" t="s">
        <v>32</v>
      </c>
      <c r="F490" t="s">
        <v>78</v>
      </c>
      <c r="G490" t="s">
        <v>20</v>
      </c>
      <c r="H490">
        <v>6</v>
      </c>
      <c r="I490">
        <v>318.52999999999997</v>
      </c>
      <c r="J490">
        <v>0</v>
      </c>
      <c r="K490">
        <v>1911.18</v>
      </c>
      <c r="L490">
        <v>1200</v>
      </c>
      <c r="M490">
        <v>711.18</v>
      </c>
      <c r="N490" t="s">
        <v>21</v>
      </c>
      <c r="O490" t="s">
        <v>22</v>
      </c>
    </row>
    <row r="491" spans="1:15" x14ac:dyDescent="0.35">
      <c r="A491" t="s">
        <v>776</v>
      </c>
      <c r="B491" s="1">
        <v>45988</v>
      </c>
      <c r="C491" t="s">
        <v>407</v>
      </c>
      <c r="D491" t="s">
        <v>25</v>
      </c>
      <c r="E491" t="s">
        <v>26</v>
      </c>
      <c r="F491" t="s">
        <v>41</v>
      </c>
      <c r="G491" t="s">
        <v>37</v>
      </c>
      <c r="H491">
        <v>1</v>
      </c>
      <c r="I491">
        <v>888.29</v>
      </c>
      <c r="J491">
        <v>0.1</v>
      </c>
      <c r="K491">
        <v>799.46</v>
      </c>
      <c r="L491">
        <v>600</v>
      </c>
      <c r="M491">
        <v>199.46</v>
      </c>
      <c r="N491" t="s">
        <v>38</v>
      </c>
      <c r="O491" t="s">
        <v>28</v>
      </c>
    </row>
    <row r="492" spans="1:15" x14ac:dyDescent="0.35">
      <c r="A492" t="s">
        <v>777</v>
      </c>
      <c r="B492" s="1">
        <v>45896</v>
      </c>
      <c r="C492" t="s">
        <v>778</v>
      </c>
      <c r="D492" t="s">
        <v>25</v>
      </c>
      <c r="E492" t="s">
        <v>26</v>
      </c>
      <c r="F492" t="s">
        <v>108</v>
      </c>
      <c r="G492" t="s">
        <v>37</v>
      </c>
      <c r="H492">
        <v>3</v>
      </c>
      <c r="I492">
        <v>452.17</v>
      </c>
      <c r="J492">
        <v>0</v>
      </c>
      <c r="K492">
        <v>1356.51</v>
      </c>
      <c r="L492">
        <v>840</v>
      </c>
      <c r="M492">
        <v>516.51</v>
      </c>
      <c r="N492" t="s">
        <v>21</v>
      </c>
      <c r="O492" t="s">
        <v>42</v>
      </c>
    </row>
    <row r="493" spans="1:15" x14ac:dyDescent="0.35">
      <c r="A493" t="s">
        <v>779</v>
      </c>
      <c r="B493" s="1">
        <v>45729</v>
      </c>
      <c r="C493" t="s">
        <v>687</v>
      </c>
      <c r="D493" t="s">
        <v>45</v>
      </c>
      <c r="E493" t="s">
        <v>46</v>
      </c>
      <c r="F493" t="s">
        <v>51</v>
      </c>
      <c r="G493" t="s">
        <v>37</v>
      </c>
      <c r="H493">
        <v>2</v>
      </c>
      <c r="I493">
        <v>229.58</v>
      </c>
      <c r="J493">
        <v>0.05</v>
      </c>
      <c r="K493">
        <v>436.2</v>
      </c>
      <c r="L493">
        <v>300</v>
      </c>
      <c r="M493">
        <v>136.19999999999999</v>
      </c>
      <c r="N493" t="s">
        <v>33</v>
      </c>
      <c r="O493" t="s">
        <v>22</v>
      </c>
    </row>
    <row r="494" spans="1:15" x14ac:dyDescent="0.35">
      <c r="A494" t="s">
        <v>780</v>
      </c>
      <c r="B494" s="1">
        <v>45910</v>
      </c>
      <c r="C494" t="s">
        <v>534</v>
      </c>
      <c r="D494" t="s">
        <v>60</v>
      </c>
      <c r="E494" t="s">
        <v>61</v>
      </c>
      <c r="F494" t="s">
        <v>27</v>
      </c>
      <c r="G494" t="s">
        <v>20</v>
      </c>
      <c r="H494">
        <v>1</v>
      </c>
      <c r="I494">
        <v>182.72</v>
      </c>
      <c r="J494">
        <v>0</v>
      </c>
      <c r="K494">
        <v>182.72</v>
      </c>
      <c r="L494">
        <v>110</v>
      </c>
      <c r="M494">
        <v>72.72</v>
      </c>
      <c r="N494" t="s">
        <v>21</v>
      </c>
      <c r="O494" t="s">
        <v>42</v>
      </c>
    </row>
    <row r="495" spans="1:15" x14ac:dyDescent="0.35">
      <c r="A495" t="s">
        <v>781</v>
      </c>
      <c r="B495" s="1">
        <v>45758</v>
      </c>
      <c r="C495" t="s">
        <v>310</v>
      </c>
      <c r="D495" t="s">
        <v>31</v>
      </c>
      <c r="E495" t="s">
        <v>32</v>
      </c>
      <c r="F495" t="s">
        <v>51</v>
      </c>
      <c r="G495" t="s">
        <v>37</v>
      </c>
      <c r="H495">
        <v>1</v>
      </c>
      <c r="I495">
        <v>229.6</v>
      </c>
      <c r="J495">
        <v>0.1</v>
      </c>
      <c r="K495">
        <v>206.64</v>
      </c>
      <c r="L495">
        <v>150</v>
      </c>
      <c r="M495">
        <v>56.64</v>
      </c>
      <c r="N495" t="s">
        <v>21</v>
      </c>
      <c r="O495" t="s">
        <v>28</v>
      </c>
    </row>
    <row r="496" spans="1:15" x14ac:dyDescent="0.35">
      <c r="A496" t="s">
        <v>782</v>
      </c>
      <c r="B496" s="1">
        <v>45932</v>
      </c>
      <c r="C496" t="s">
        <v>235</v>
      </c>
      <c r="D496" t="s">
        <v>50</v>
      </c>
      <c r="E496" t="s">
        <v>32</v>
      </c>
      <c r="F496" t="s">
        <v>108</v>
      </c>
      <c r="G496" t="s">
        <v>37</v>
      </c>
      <c r="H496">
        <v>1</v>
      </c>
      <c r="I496">
        <v>448.73</v>
      </c>
      <c r="J496">
        <v>0</v>
      </c>
      <c r="K496">
        <v>448.73</v>
      </c>
      <c r="L496">
        <v>280</v>
      </c>
      <c r="M496">
        <v>168.73</v>
      </c>
      <c r="N496" t="s">
        <v>21</v>
      </c>
      <c r="O496" t="s">
        <v>28</v>
      </c>
    </row>
    <row r="497" spans="1:15" x14ac:dyDescent="0.35">
      <c r="A497" t="s">
        <v>783</v>
      </c>
      <c r="B497" s="1">
        <v>45881</v>
      </c>
      <c r="C497" t="s">
        <v>442</v>
      </c>
      <c r="D497" t="s">
        <v>25</v>
      </c>
      <c r="E497" t="s">
        <v>26</v>
      </c>
      <c r="F497" t="s">
        <v>108</v>
      </c>
      <c r="G497" t="s">
        <v>37</v>
      </c>
      <c r="H497">
        <v>1</v>
      </c>
      <c r="I497">
        <v>420.4</v>
      </c>
      <c r="J497">
        <v>0</v>
      </c>
      <c r="K497">
        <v>420.4</v>
      </c>
      <c r="L497">
        <v>280</v>
      </c>
      <c r="M497">
        <v>140.4</v>
      </c>
      <c r="N497" t="s">
        <v>21</v>
      </c>
      <c r="O497" t="s">
        <v>22</v>
      </c>
    </row>
    <row r="498" spans="1:15" x14ac:dyDescent="0.35">
      <c r="A498" t="s">
        <v>784</v>
      </c>
      <c r="B498" s="1">
        <v>46013</v>
      </c>
      <c r="C498" t="s">
        <v>69</v>
      </c>
      <c r="D498" t="s">
        <v>31</v>
      </c>
      <c r="E498" t="s">
        <v>32</v>
      </c>
      <c r="F498" t="s">
        <v>67</v>
      </c>
      <c r="G498" t="s">
        <v>37</v>
      </c>
      <c r="H498">
        <v>5</v>
      </c>
      <c r="I498">
        <v>73.489999999999995</v>
      </c>
      <c r="J498">
        <v>0</v>
      </c>
      <c r="K498">
        <v>367.45</v>
      </c>
      <c r="L498">
        <v>200</v>
      </c>
      <c r="M498">
        <v>167.45</v>
      </c>
      <c r="N498" t="s">
        <v>21</v>
      </c>
      <c r="O498" t="s">
        <v>42</v>
      </c>
    </row>
    <row r="499" spans="1:15" x14ac:dyDescent="0.35">
      <c r="A499" t="s">
        <v>785</v>
      </c>
      <c r="B499" s="1">
        <v>45805</v>
      </c>
      <c r="C499" t="s">
        <v>444</v>
      </c>
      <c r="D499" t="s">
        <v>60</v>
      </c>
      <c r="E499" t="s">
        <v>61</v>
      </c>
      <c r="F499" t="s">
        <v>27</v>
      </c>
      <c r="G499" t="s">
        <v>20</v>
      </c>
      <c r="H499">
        <v>4</v>
      </c>
      <c r="I499">
        <v>184.36</v>
      </c>
      <c r="J499">
        <v>0</v>
      </c>
      <c r="K499">
        <v>737.44</v>
      </c>
      <c r="L499">
        <v>440</v>
      </c>
      <c r="M499">
        <v>297.44</v>
      </c>
      <c r="N499" t="s">
        <v>21</v>
      </c>
      <c r="O499" t="s">
        <v>28</v>
      </c>
    </row>
    <row r="500" spans="1:15" x14ac:dyDescent="0.35">
      <c r="A500" t="s">
        <v>786</v>
      </c>
      <c r="B500" s="1">
        <v>45957</v>
      </c>
      <c r="C500" t="s">
        <v>787</v>
      </c>
      <c r="D500" t="s">
        <v>66</v>
      </c>
      <c r="E500" t="s">
        <v>61</v>
      </c>
      <c r="F500" t="s">
        <v>19</v>
      </c>
      <c r="G500" t="s">
        <v>20</v>
      </c>
      <c r="H500">
        <v>6</v>
      </c>
      <c r="I500">
        <v>296.58999999999997</v>
      </c>
      <c r="J500">
        <v>0</v>
      </c>
      <c r="K500">
        <v>1779.54</v>
      </c>
      <c r="L500">
        <v>1020</v>
      </c>
      <c r="M500">
        <v>759.54</v>
      </c>
      <c r="N500" t="s">
        <v>38</v>
      </c>
      <c r="O500" t="s">
        <v>42</v>
      </c>
    </row>
    <row r="501" spans="1:15" x14ac:dyDescent="0.35">
      <c r="A501" t="s">
        <v>788</v>
      </c>
      <c r="B501" s="1">
        <v>45998</v>
      </c>
      <c r="C501" t="s">
        <v>328</v>
      </c>
      <c r="D501" t="s">
        <v>50</v>
      </c>
      <c r="E501" t="s">
        <v>32</v>
      </c>
      <c r="F501" t="s">
        <v>51</v>
      </c>
      <c r="G501" t="s">
        <v>37</v>
      </c>
      <c r="H501">
        <v>2</v>
      </c>
      <c r="I501">
        <v>247.32</v>
      </c>
      <c r="J501">
        <v>0.05</v>
      </c>
      <c r="K501">
        <v>469.91</v>
      </c>
      <c r="L501">
        <v>300</v>
      </c>
      <c r="M501">
        <v>169.91</v>
      </c>
      <c r="N501" t="s">
        <v>47</v>
      </c>
      <c r="O501" t="s">
        <v>28</v>
      </c>
    </row>
    <row r="502" spans="1:15" x14ac:dyDescent="0.35">
      <c r="A502" t="s">
        <v>789</v>
      </c>
      <c r="B502" s="1">
        <v>45930</v>
      </c>
      <c r="C502" t="s">
        <v>601</v>
      </c>
      <c r="D502" t="s">
        <v>25</v>
      </c>
      <c r="E502" t="s">
        <v>26</v>
      </c>
      <c r="F502" t="s">
        <v>27</v>
      </c>
      <c r="G502" t="s">
        <v>20</v>
      </c>
      <c r="H502">
        <v>3</v>
      </c>
      <c r="I502">
        <v>191.11</v>
      </c>
      <c r="J502">
        <v>0</v>
      </c>
      <c r="K502">
        <v>573.33000000000004</v>
      </c>
      <c r="L502">
        <v>330</v>
      </c>
      <c r="M502">
        <v>243.33</v>
      </c>
      <c r="N502" t="s">
        <v>47</v>
      </c>
      <c r="O502" t="s">
        <v>42</v>
      </c>
    </row>
    <row r="503" spans="1:15" x14ac:dyDescent="0.35">
      <c r="A503" t="s">
        <v>790</v>
      </c>
      <c r="B503" s="1">
        <v>45963</v>
      </c>
      <c r="C503" t="s">
        <v>379</v>
      </c>
      <c r="D503" t="s">
        <v>17</v>
      </c>
      <c r="E503" t="s">
        <v>18</v>
      </c>
      <c r="F503" t="s">
        <v>51</v>
      </c>
      <c r="G503" t="s">
        <v>37</v>
      </c>
      <c r="H503">
        <v>2</v>
      </c>
      <c r="I503">
        <v>234.08</v>
      </c>
      <c r="J503">
        <v>0.05</v>
      </c>
      <c r="K503">
        <v>444.75</v>
      </c>
      <c r="L503">
        <v>300</v>
      </c>
      <c r="M503">
        <v>144.75</v>
      </c>
      <c r="N503" t="s">
        <v>38</v>
      </c>
      <c r="O503" t="s">
        <v>42</v>
      </c>
    </row>
    <row r="504" spans="1:15" x14ac:dyDescent="0.35">
      <c r="A504" t="s">
        <v>791</v>
      </c>
      <c r="B504" s="1">
        <v>45763</v>
      </c>
      <c r="C504" t="s">
        <v>145</v>
      </c>
      <c r="D504" t="s">
        <v>25</v>
      </c>
      <c r="E504" t="s">
        <v>26</v>
      </c>
      <c r="F504" t="s">
        <v>67</v>
      </c>
      <c r="G504" t="s">
        <v>37</v>
      </c>
      <c r="H504">
        <v>1</v>
      </c>
      <c r="I504">
        <v>80.8</v>
      </c>
      <c r="J504">
        <v>0</v>
      </c>
      <c r="K504">
        <v>80.8</v>
      </c>
      <c r="L504">
        <v>40</v>
      </c>
      <c r="M504">
        <v>40.799999999999997</v>
      </c>
      <c r="N504" t="s">
        <v>33</v>
      </c>
      <c r="O504" t="s">
        <v>28</v>
      </c>
    </row>
    <row r="505" spans="1:15" x14ac:dyDescent="0.35">
      <c r="A505" t="s">
        <v>792</v>
      </c>
      <c r="B505" s="1">
        <v>45940</v>
      </c>
      <c r="C505" t="s">
        <v>495</v>
      </c>
      <c r="D505" t="s">
        <v>60</v>
      </c>
      <c r="E505" t="s">
        <v>61</v>
      </c>
      <c r="F505" t="s">
        <v>78</v>
      </c>
      <c r="G505" t="s">
        <v>20</v>
      </c>
      <c r="H505">
        <v>3</v>
      </c>
      <c r="I505">
        <v>333.06</v>
      </c>
      <c r="J505">
        <v>0.05</v>
      </c>
      <c r="K505">
        <v>949.22</v>
      </c>
      <c r="L505">
        <v>600</v>
      </c>
      <c r="M505">
        <v>349.22</v>
      </c>
      <c r="N505" t="s">
        <v>21</v>
      </c>
      <c r="O505" t="s">
        <v>28</v>
      </c>
    </row>
    <row r="506" spans="1:15" x14ac:dyDescent="0.35">
      <c r="A506" t="s">
        <v>793</v>
      </c>
      <c r="B506" s="1">
        <v>45923</v>
      </c>
      <c r="C506" t="s">
        <v>570</v>
      </c>
      <c r="D506" t="s">
        <v>17</v>
      </c>
      <c r="E506" t="s">
        <v>18</v>
      </c>
      <c r="F506" t="s">
        <v>108</v>
      </c>
      <c r="G506" t="s">
        <v>37</v>
      </c>
      <c r="H506">
        <v>1</v>
      </c>
      <c r="I506">
        <v>439.79</v>
      </c>
      <c r="J506">
        <v>0.05</v>
      </c>
      <c r="K506">
        <v>417.8</v>
      </c>
      <c r="L506">
        <v>280</v>
      </c>
      <c r="M506">
        <v>137.80000000000001</v>
      </c>
      <c r="N506" t="s">
        <v>21</v>
      </c>
      <c r="O506" t="s">
        <v>28</v>
      </c>
    </row>
    <row r="507" spans="1:15" x14ac:dyDescent="0.35">
      <c r="A507" t="s">
        <v>794</v>
      </c>
      <c r="B507" s="1">
        <v>45679</v>
      </c>
      <c r="C507" t="s">
        <v>264</v>
      </c>
      <c r="D507" t="s">
        <v>60</v>
      </c>
      <c r="E507" t="s">
        <v>61</v>
      </c>
      <c r="F507" t="s">
        <v>67</v>
      </c>
      <c r="G507" t="s">
        <v>37</v>
      </c>
      <c r="H507">
        <v>3</v>
      </c>
      <c r="I507">
        <v>80.97</v>
      </c>
      <c r="J507">
        <v>0</v>
      </c>
      <c r="K507">
        <v>242.91</v>
      </c>
      <c r="L507">
        <v>120</v>
      </c>
      <c r="M507">
        <v>122.91</v>
      </c>
      <c r="N507" t="s">
        <v>21</v>
      </c>
      <c r="O507" t="s">
        <v>28</v>
      </c>
    </row>
    <row r="508" spans="1:15" x14ac:dyDescent="0.35">
      <c r="A508" t="s">
        <v>795</v>
      </c>
      <c r="B508" s="1">
        <v>45858</v>
      </c>
      <c r="C508" t="s">
        <v>599</v>
      </c>
      <c r="D508" t="s">
        <v>66</v>
      </c>
      <c r="E508" t="s">
        <v>61</v>
      </c>
      <c r="F508" t="s">
        <v>27</v>
      </c>
      <c r="G508" t="s">
        <v>20</v>
      </c>
      <c r="H508">
        <v>4</v>
      </c>
      <c r="I508">
        <v>192.42</v>
      </c>
      <c r="J508">
        <v>0.1</v>
      </c>
      <c r="K508">
        <v>692.71</v>
      </c>
      <c r="L508">
        <v>440</v>
      </c>
      <c r="M508">
        <v>252.71</v>
      </c>
      <c r="N508" t="s">
        <v>38</v>
      </c>
      <c r="O508" t="s">
        <v>42</v>
      </c>
    </row>
    <row r="509" spans="1:15" x14ac:dyDescent="0.35">
      <c r="A509" t="s">
        <v>796</v>
      </c>
      <c r="B509" s="1">
        <v>45816</v>
      </c>
      <c r="C509" t="s">
        <v>65</v>
      </c>
      <c r="D509" t="s">
        <v>60</v>
      </c>
      <c r="E509" t="s">
        <v>61</v>
      </c>
      <c r="F509" t="s">
        <v>78</v>
      </c>
      <c r="G509" t="s">
        <v>20</v>
      </c>
      <c r="H509">
        <v>2</v>
      </c>
      <c r="I509">
        <v>333.76</v>
      </c>
      <c r="J509">
        <v>0.1</v>
      </c>
      <c r="K509">
        <v>600.77</v>
      </c>
      <c r="L509">
        <v>400</v>
      </c>
      <c r="M509">
        <v>200.77</v>
      </c>
      <c r="N509" t="s">
        <v>21</v>
      </c>
      <c r="O509" t="s">
        <v>28</v>
      </c>
    </row>
    <row r="510" spans="1:15" x14ac:dyDescent="0.35">
      <c r="A510" t="s">
        <v>797</v>
      </c>
      <c r="B510" s="1">
        <v>45767</v>
      </c>
      <c r="C510" t="s">
        <v>151</v>
      </c>
      <c r="D510" t="s">
        <v>31</v>
      </c>
      <c r="E510" t="s">
        <v>32</v>
      </c>
      <c r="F510" t="s">
        <v>19</v>
      </c>
      <c r="G510" t="s">
        <v>20</v>
      </c>
      <c r="H510">
        <v>3</v>
      </c>
      <c r="I510">
        <v>294.04000000000002</v>
      </c>
      <c r="J510">
        <v>0</v>
      </c>
      <c r="K510">
        <v>882.12</v>
      </c>
      <c r="L510">
        <v>510</v>
      </c>
      <c r="M510">
        <v>372.12</v>
      </c>
      <c r="N510" t="s">
        <v>21</v>
      </c>
      <c r="O510" t="s">
        <v>42</v>
      </c>
    </row>
    <row r="511" spans="1:15" x14ac:dyDescent="0.35">
      <c r="A511" t="s">
        <v>798</v>
      </c>
      <c r="B511" s="1">
        <v>45679</v>
      </c>
      <c r="C511" t="s">
        <v>129</v>
      </c>
      <c r="D511" t="s">
        <v>31</v>
      </c>
      <c r="E511" t="s">
        <v>32</v>
      </c>
      <c r="F511" t="s">
        <v>51</v>
      </c>
      <c r="G511" t="s">
        <v>37</v>
      </c>
      <c r="H511">
        <v>3</v>
      </c>
      <c r="I511">
        <v>252.72</v>
      </c>
      <c r="J511">
        <v>0.15</v>
      </c>
      <c r="K511">
        <v>644.44000000000005</v>
      </c>
      <c r="L511">
        <v>450</v>
      </c>
      <c r="M511">
        <v>194.44</v>
      </c>
      <c r="N511" t="s">
        <v>38</v>
      </c>
      <c r="O511" t="s">
        <v>22</v>
      </c>
    </row>
    <row r="512" spans="1:15" x14ac:dyDescent="0.35">
      <c r="A512" t="s">
        <v>799</v>
      </c>
      <c r="B512" s="1">
        <v>45852</v>
      </c>
      <c r="C512" t="s">
        <v>800</v>
      </c>
      <c r="D512" t="s">
        <v>45</v>
      </c>
      <c r="E512" t="s">
        <v>46</v>
      </c>
      <c r="F512" t="s">
        <v>27</v>
      </c>
      <c r="G512" t="s">
        <v>20</v>
      </c>
      <c r="H512">
        <v>4</v>
      </c>
      <c r="I512">
        <v>203.33</v>
      </c>
      <c r="J512">
        <v>0</v>
      </c>
      <c r="K512">
        <v>813.32</v>
      </c>
      <c r="L512">
        <v>440</v>
      </c>
      <c r="M512">
        <v>373.32</v>
      </c>
      <c r="N512" t="s">
        <v>47</v>
      </c>
      <c r="O512" t="s">
        <v>28</v>
      </c>
    </row>
    <row r="513" spans="1:15" x14ac:dyDescent="0.35">
      <c r="A513" t="s">
        <v>801</v>
      </c>
      <c r="B513" s="1">
        <v>45855</v>
      </c>
      <c r="C513" t="s">
        <v>249</v>
      </c>
      <c r="D513" t="s">
        <v>17</v>
      </c>
      <c r="E513" t="s">
        <v>18</v>
      </c>
      <c r="F513" t="s">
        <v>27</v>
      </c>
      <c r="G513" t="s">
        <v>20</v>
      </c>
      <c r="H513">
        <v>5</v>
      </c>
      <c r="I513">
        <v>183.65</v>
      </c>
      <c r="J513">
        <v>0.1</v>
      </c>
      <c r="K513">
        <v>826.42</v>
      </c>
      <c r="L513">
        <v>550</v>
      </c>
      <c r="M513">
        <v>276.42</v>
      </c>
      <c r="N513" t="s">
        <v>21</v>
      </c>
      <c r="O513" t="s">
        <v>22</v>
      </c>
    </row>
    <row r="514" spans="1:15" x14ac:dyDescent="0.35">
      <c r="A514" t="s">
        <v>802</v>
      </c>
      <c r="B514" s="1">
        <v>45701</v>
      </c>
      <c r="C514" t="s">
        <v>249</v>
      </c>
      <c r="D514" t="s">
        <v>66</v>
      </c>
      <c r="E514" t="s">
        <v>61</v>
      </c>
      <c r="F514" t="s">
        <v>19</v>
      </c>
      <c r="G514" t="s">
        <v>20</v>
      </c>
      <c r="H514">
        <v>1</v>
      </c>
      <c r="I514">
        <v>287.31</v>
      </c>
      <c r="J514">
        <v>0</v>
      </c>
      <c r="K514">
        <v>287.31</v>
      </c>
      <c r="L514">
        <v>170</v>
      </c>
      <c r="M514">
        <v>117.31</v>
      </c>
      <c r="N514" t="s">
        <v>33</v>
      </c>
      <c r="O514" t="s">
        <v>28</v>
      </c>
    </row>
    <row r="515" spans="1:15" x14ac:dyDescent="0.35">
      <c r="A515" t="s">
        <v>803</v>
      </c>
      <c r="B515" s="1">
        <v>46012</v>
      </c>
      <c r="C515" t="s">
        <v>299</v>
      </c>
      <c r="D515" t="s">
        <v>60</v>
      </c>
      <c r="E515" t="s">
        <v>61</v>
      </c>
      <c r="F515" t="s">
        <v>67</v>
      </c>
      <c r="G515" t="s">
        <v>37</v>
      </c>
      <c r="H515">
        <v>1</v>
      </c>
      <c r="I515">
        <v>76.52</v>
      </c>
      <c r="J515">
        <v>0</v>
      </c>
      <c r="K515">
        <v>76.52</v>
      </c>
      <c r="L515">
        <v>40</v>
      </c>
      <c r="M515">
        <v>36.520000000000003</v>
      </c>
      <c r="N515" t="s">
        <v>33</v>
      </c>
      <c r="O515" t="s">
        <v>42</v>
      </c>
    </row>
    <row r="516" spans="1:15" x14ac:dyDescent="0.35">
      <c r="A516" t="s">
        <v>804</v>
      </c>
      <c r="B516" s="1">
        <v>45858</v>
      </c>
      <c r="C516" t="s">
        <v>137</v>
      </c>
      <c r="D516" t="s">
        <v>50</v>
      </c>
      <c r="E516" t="s">
        <v>32</v>
      </c>
      <c r="F516" t="s">
        <v>78</v>
      </c>
      <c r="G516" t="s">
        <v>20</v>
      </c>
      <c r="H516">
        <v>4</v>
      </c>
      <c r="I516">
        <v>336.9</v>
      </c>
      <c r="J516">
        <v>0</v>
      </c>
      <c r="K516">
        <v>1347.6</v>
      </c>
      <c r="L516">
        <v>800</v>
      </c>
      <c r="M516">
        <v>547.6</v>
      </c>
      <c r="N516" t="s">
        <v>21</v>
      </c>
      <c r="O516" t="s">
        <v>28</v>
      </c>
    </row>
    <row r="517" spans="1:15" x14ac:dyDescent="0.35">
      <c r="A517" t="s">
        <v>805</v>
      </c>
      <c r="B517" s="1">
        <v>45786</v>
      </c>
      <c r="C517" t="s">
        <v>806</v>
      </c>
      <c r="D517" t="s">
        <v>17</v>
      </c>
      <c r="E517" t="s">
        <v>18</v>
      </c>
      <c r="F517" t="s">
        <v>67</v>
      </c>
      <c r="G517" t="s">
        <v>37</v>
      </c>
      <c r="H517">
        <v>1</v>
      </c>
      <c r="I517">
        <v>80.88</v>
      </c>
      <c r="J517">
        <v>0</v>
      </c>
      <c r="K517">
        <v>80.88</v>
      </c>
      <c r="L517">
        <v>40</v>
      </c>
      <c r="M517">
        <v>40.880000000000003</v>
      </c>
      <c r="N517" t="s">
        <v>21</v>
      </c>
      <c r="O517" t="s">
        <v>28</v>
      </c>
    </row>
    <row r="518" spans="1:15" x14ac:dyDescent="0.35">
      <c r="A518" t="s">
        <v>807</v>
      </c>
      <c r="B518" s="1">
        <v>45677</v>
      </c>
      <c r="C518" t="s">
        <v>244</v>
      </c>
      <c r="D518" t="s">
        <v>31</v>
      </c>
      <c r="E518" t="s">
        <v>32</v>
      </c>
      <c r="F518" t="s">
        <v>36</v>
      </c>
      <c r="G518" t="s">
        <v>37</v>
      </c>
      <c r="H518">
        <v>4</v>
      </c>
      <c r="I518">
        <v>118.77</v>
      </c>
      <c r="J518">
        <v>0</v>
      </c>
      <c r="K518">
        <v>475.08</v>
      </c>
      <c r="L518">
        <v>240</v>
      </c>
      <c r="M518">
        <v>235.08</v>
      </c>
      <c r="N518" t="s">
        <v>38</v>
      </c>
      <c r="O518" t="s">
        <v>42</v>
      </c>
    </row>
    <row r="519" spans="1:15" x14ac:dyDescent="0.35">
      <c r="A519" t="s">
        <v>808</v>
      </c>
      <c r="B519" s="1">
        <v>45686</v>
      </c>
      <c r="C519" t="s">
        <v>662</v>
      </c>
      <c r="D519" t="s">
        <v>25</v>
      </c>
      <c r="E519" t="s">
        <v>26</v>
      </c>
      <c r="F519" t="s">
        <v>36</v>
      </c>
      <c r="G519" t="s">
        <v>37</v>
      </c>
      <c r="H519">
        <v>2</v>
      </c>
      <c r="I519">
        <v>124.4</v>
      </c>
      <c r="J519">
        <v>0.1</v>
      </c>
      <c r="K519">
        <v>223.92</v>
      </c>
      <c r="L519">
        <v>120</v>
      </c>
      <c r="M519">
        <v>103.92</v>
      </c>
      <c r="N519" t="s">
        <v>47</v>
      </c>
      <c r="O519" t="s">
        <v>28</v>
      </c>
    </row>
    <row r="520" spans="1:15" x14ac:dyDescent="0.35">
      <c r="A520" t="s">
        <v>809</v>
      </c>
      <c r="B520" s="1">
        <v>45824</v>
      </c>
      <c r="C520" t="s">
        <v>281</v>
      </c>
      <c r="D520" t="s">
        <v>17</v>
      </c>
      <c r="E520" t="s">
        <v>18</v>
      </c>
      <c r="F520" t="s">
        <v>36</v>
      </c>
      <c r="G520" t="s">
        <v>37</v>
      </c>
      <c r="H520">
        <v>2</v>
      </c>
      <c r="I520">
        <v>123.66</v>
      </c>
      <c r="J520">
        <v>0.1</v>
      </c>
      <c r="K520">
        <v>222.59</v>
      </c>
      <c r="L520">
        <v>120</v>
      </c>
      <c r="M520">
        <v>102.59</v>
      </c>
      <c r="N520" t="s">
        <v>21</v>
      </c>
      <c r="O520" t="s">
        <v>28</v>
      </c>
    </row>
    <row r="521" spans="1:15" x14ac:dyDescent="0.35">
      <c r="A521" t="s">
        <v>810</v>
      </c>
      <c r="B521" s="1">
        <v>45709</v>
      </c>
      <c r="C521" t="s">
        <v>147</v>
      </c>
      <c r="D521" t="s">
        <v>45</v>
      </c>
      <c r="E521" t="s">
        <v>46</v>
      </c>
      <c r="F521" t="s">
        <v>19</v>
      </c>
      <c r="G521" t="s">
        <v>20</v>
      </c>
      <c r="H521">
        <v>4</v>
      </c>
      <c r="I521">
        <v>269.33</v>
      </c>
      <c r="J521">
        <v>0</v>
      </c>
      <c r="K521">
        <v>1077.32</v>
      </c>
      <c r="L521">
        <v>680</v>
      </c>
      <c r="M521">
        <v>397.32</v>
      </c>
      <c r="N521" t="s">
        <v>47</v>
      </c>
      <c r="O521" t="s">
        <v>28</v>
      </c>
    </row>
    <row r="522" spans="1:15" x14ac:dyDescent="0.35">
      <c r="A522" t="s">
        <v>811</v>
      </c>
      <c r="B522" s="1">
        <v>45956</v>
      </c>
      <c r="C522" t="s">
        <v>337</v>
      </c>
      <c r="D522" t="s">
        <v>50</v>
      </c>
      <c r="E522" t="s">
        <v>32</v>
      </c>
      <c r="F522" t="s">
        <v>67</v>
      </c>
      <c r="G522" t="s">
        <v>37</v>
      </c>
      <c r="H522">
        <v>4</v>
      </c>
      <c r="I522">
        <v>79.37</v>
      </c>
      <c r="J522">
        <v>0.05</v>
      </c>
      <c r="K522">
        <v>301.61</v>
      </c>
      <c r="L522">
        <v>160</v>
      </c>
      <c r="M522">
        <v>141.61000000000001</v>
      </c>
      <c r="N522" t="s">
        <v>47</v>
      </c>
      <c r="O522" t="s">
        <v>28</v>
      </c>
    </row>
    <row r="523" spans="1:15" x14ac:dyDescent="0.35">
      <c r="A523" t="s">
        <v>812</v>
      </c>
      <c r="B523" s="1">
        <v>45924</v>
      </c>
      <c r="C523" t="s">
        <v>477</v>
      </c>
      <c r="D523" t="s">
        <v>66</v>
      </c>
      <c r="E523" t="s">
        <v>61</v>
      </c>
      <c r="F523" t="s">
        <v>108</v>
      </c>
      <c r="G523" t="s">
        <v>37</v>
      </c>
      <c r="H523">
        <v>4</v>
      </c>
      <c r="I523">
        <v>426.2</v>
      </c>
      <c r="J523">
        <v>0</v>
      </c>
      <c r="K523">
        <v>1704.8</v>
      </c>
      <c r="L523">
        <v>1120</v>
      </c>
      <c r="M523">
        <v>584.79999999999995</v>
      </c>
      <c r="N523" t="s">
        <v>47</v>
      </c>
      <c r="O523" t="s">
        <v>42</v>
      </c>
    </row>
    <row r="524" spans="1:15" x14ac:dyDescent="0.35">
      <c r="A524" t="s">
        <v>813</v>
      </c>
      <c r="B524" s="1">
        <v>45877</v>
      </c>
      <c r="C524" t="s">
        <v>642</v>
      </c>
      <c r="D524" t="s">
        <v>60</v>
      </c>
      <c r="E524" t="s">
        <v>61</v>
      </c>
      <c r="F524" t="s">
        <v>36</v>
      </c>
      <c r="G524" t="s">
        <v>37</v>
      </c>
      <c r="H524">
        <v>4</v>
      </c>
      <c r="I524">
        <v>125.39</v>
      </c>
      <c r="J524">
        <v>0.05</v>
      </c>
      <c r="K524">
        <v>476.48</v>
      </c>
      <c r="L524">
        <v>240</v>
      </c>
      <c r="M524">
        <v>236.48</v>
      </c>
      <c r="N524" t="s">
        <v>33</v>
      </c>
      <c r="O524" t="s">
        <v>22</v>
      </c>
    </row>
    <row r="525" spans="1:15" x14ac:dyDescent="0.35">
      <c r="A525" t="s">
        <v>814</v>
      </c>
      <c r="B525" s="1">
        <v>45811</v>
      </c>
      <c r="C525" t="s">
        <v>143</v>
      </c>
      <c r="D525" t="s">
        <v>31</v>
      </c>
      <c r="E525" t="s">
        <v>32</v>
      </c>
      <c r="F525" t="s">
        <v>78</v>
      </c>
      <c r="G525" t="s">
        <v>20</v>
      </c>
      <c r="H525">
        <v>2</v>
      </c>
      <c r="I525">
        <v>331.13</v>
      </c>
      <c r="J525">
        <v>0.15</v>
      </c>
      <c r="K525">
        <v>562.91999999999996</v>
      </c>
      <c r="L525">
        <v>400</v>
      </c>
      <c r="M525">
        <v>162.91999999999999</v>
      </c>
      <c r="N525" t="s">
        <v>33</v>
      </c>
      <c r="O525" t="s">
        <v>22</v>
      </c>
    </row>
    <row r="526" spans="1:15" x14ac:dyDescent="0.35">
      <c r="A526" t="s">
        <v>815</v>
      </c>
      <c r="B526" s="1">
        <v>45711</v>
      </c>
      <c r="C526" t="s">
        <v>351</v>
      </c>
      <c r="D526" t="s">
        <v>60</v>
      </c>
      <c r="E526" t="s">
        <v>61</v>
      </c>
      <c r="F526" t="s">
        <v>67</v>
      </c>
      <c r="G526" t="s">
        <v>37</v>
      </c>
      <c r="H526">
        <v>3</v>
      </c>
      <c r="I526">
        <v>78.62</v>
      </c>
      <c r="J526">
        <v>0</v>
      </c>
      <c r="K526">
        <v>235.86</v>
      </c>
      <c r="L526">
        <v>120</v>
      </c>
      <c r="M526">
        <v>115.86</v>
      </c>
      <c r="N526" t="s">
        <v>47</v>
      </c>
      <c r="O526" t="s">
        <v>22</v>
      </c>
    </row>
    <row r="527" spans="1:15" x14ac:dyDescent="0.35">
      <c r="A527" t="s">
        <v>816</v>
      </c>
      <c r="B527" s="1">
        <v>45872</v>
      </c>
      <c r="C527" t="s">
        <v>456</v>
      </c>
      <c r="D527" t="s">
        <v>50</v>
      </c>
      <c r="E527" t="s">
        <v>32</v>
      </c>
      <c r="F527" t="s">
        <v>51</v>
      </c>
      <c r="G527" t="s">
        <v>37</v>
      </c>
      <c r="H527">
        <v>2</v>
      </c>
      <c r="I527">
        <v>238.78</v>
      </c>
      <c r="J527">
        <v>0.05</v>
      </c>
      <c r="K527">
        <v>453.68</v>
      </c>
      <c r="L527">
        <v>300</v>
      </c>
      <c r="M527">
        <v>153.68</v>
      </c>
      <c r="N527" t="s">
        <v>47</v>
      </c>
      <c r="O527" t="s">
        <v>28</v>
      </c>
    </row>
    <row r="528" spans="1:15" x14ac:dyDescent="0.35">
      <c r="A528" t="s">
        <v>817</v>
      </c>
      <c r="B528" s="1">
        <v>45943</v>
      </c>
      <c r="C528" t="s">
        <v>524</v>
      </c>
      <c r="D528" t="s">
        <v>17</v>
      </c>
      <c r="E528" t="s">
        <v>18</v>
      </c>
      <c r="F528" t="s">
        <v>41</v>
      </c>
      <c r="G528" t="s">
        <v>37</v>
      </c>
      <c r="H528">
        <v>1</v>
      </c>
      <c r="I528">
        <v>911.49</v>
      </c>
      <c r="J528">
        <v>0</v>
      </c>
      <c r="K528">
        <v>911.49</v>
      </c>
      <c r="L528">
        <v>600</v>
      </c>
      <c r="M528">
        <v>311.49</v>
      </c>
      <c r="N528" t="s">
        <v>47</v>
      </c>
      <c r="O528" t="s">
        <v>22</v>
      </c>
    </row>
    <row r="529" spans="1:15" x14ac:dyDescent="0.35">
      <c r="A529" t="s">
        <v>818</v>
      </c>
      <c r="B529" s="1">
        <v>46015</v>
      </c>
      <c r="C529" t="s">
        <v>743</v>
      </c>
      <c r="D529" t="s">
        <v>66</v>
      </c>
      <c r="E529" t="s">
        <v>61</v>
      </c>
      <c r="F529" t="s">
        <v>36</v>
      </c>
      <c r="G529" t="s">
        <v>37</v>
      </c>
      <c r="H529">
        <v>3</v>
      </c>
      <c r="I529">
        <v>124.11</v>
      </c>
      <c r="J529">
        <v>0</v>
      </c>
      <c r="K529">
        <v>372.33</v>
      </c>
      <c r="L529">
        <v>180</v>
      </c>
      <c r="M529">
        <v>192.33</v>
      </c>
      <c r="N529" t="s">
        <v>47</v>
      </c>
      <c r="O529" t="s">
        <v>42</v>
      </c>
    </row>
    <row r="530" spans="1:15" x14ac:dyDescent="0.35">
      <c r="A530" t="s">
        <v>819</v>
      </c>
      <c r="B530" s="1">
        <v>45994</v>
      </c>
      <c r="C530" t="s">
        <v>367</v>
      </c>
      <c r="D530" t="s">
        <v>66</v>
      </c>
      <c r="E530" t="s">
        <v>61</v>
      </c>
      <c r="F530" t="s">
        <v>41</v>
      </c>
      <c r="G530" t="s">
        <v>37</v>
      </c>
      <c r="H530">
        <v>1</v>
      </c>
      <c r="I530">
        <v>874</v>
      </c>
      <c r="J530">
        <v>0.05</v>
      </c>
      <c r="K530">
        <v>830.3</v>
      </c>
      <c r="L530">
        <v>600</v>
      </c>
      <c r="M530">
        <v>230.3</v>
      </c>
      <c r="N530" t="s">
        <v>33</v>
      </c>
      <c r="O530" t="s">
        <v>28</v>
      </c>
    </row>
    <row r="531" spans="1:15" x14ac:dyDescent="0.35">
      <c r="A531" t="s">
        <v>820</v>
      </c>
      <c r="B531" s="1">
        <v>45893</v>
      </c>
      <c r="C531" t="s">
        <v>266</v>
      </c>
      <c r="D531" t="s">
        <v>50</v>
      </c>
      <c r="E531" t="s">
        <v>32</v>
      </c>
      <c r="F531" t="s">
        <v>67</v>
      </c>
      <c r="G531" t="s">
        <v>37</v>
      </c>
      <c r="H531">
        <v>1</v>
      </c>
      <c r="I531">
        <v>73.290000000000006</v>
      </c>
      <c r="J531">
        <v>0.1</v>
      </c>
      <c r="K531">
        <v>65.959999999999994</v>
      </c>
      <c r="L531">
        <v>40</v>
      </c>
      <c r="M531">
        <v>25.96</v>
      </c>
      <c r="N531" t="s">
        <v>21</v>
      </c>
      <c r="O531" t="s">
        <v>28</v>
      </c>
    </row>
    <row r="532" spans="1:15" x14ac:dyDescent="0.35">
      <c r="A532" t="s">
        <v>821</v>
      </c>
      <c r="B532" s="1">
        <v>45846</v>
      </c>
      <c r="C532" t="s">
        <v>145</v>
      </c>
      <c r="D532" t="s">
        <v>58</v>
      </c>
      <c r="E532" t="s">
        <v>18</v>
      </c>
      <c r="F532" t="s">
        <v>27</v>
      </c>
      <c r="G532" t="s">
        <v>20</v>
      </c>
      <c r="H532">
        <v>2</v>
      </c>
      <c r="I532">
        <v>193.84</v>
      </c>
      <c r="J532">
        <v>0.1</v>
      </c>
      <c r="K532">
        <v>348.91</v>
      </c>
      <c r="L532">
        <v>220</v>
      </c>
      <c r="M532">
        <v>128.91</v>
      </c>
      <c r="N532" t="s">
        <v>47</v>
      </c>
      <c r="O532" t="s">
        <v>28</v>
      </c>
    </row>
    <row r="533" spans="1:15" x14ac:dyDescent="0.35">
      <c r="A533" t="s">
        <v>822</v>
      </c>
      <c r="B533" s="1">
        <v>45813</v>
      </c>
      <c r="C533" t="s">
        <v>541</v>
      </c>
      <c r="D533" t="s">
        <v>17</v>
      </c>
      <c r="E533" t="s">
        <v>18</v>
      </c>
      <c r="F533" t="s">
        <v>19</v>
      </c>
      <c r="G533" t="s">
        <v>20</v>
      </c>
      <c r="H533">
        <v>1</v>
      </c>
      <c r="I533">
        <v>276.72000000000003</v>
      </c>
      <c r="J533">
        <v>0</v>
      </c>
      <c r="K533">
        <v>276.72000000000003</v>
      </c>
      <c r="L533">
        <v>170</v>
      </c>
      <c r="M533">
        <v>106.72</v>
      </c>
      <c r="N533" t="s">
        <v>21</v>
      </c>
      <c r="O533" t="s">
        <v>22</v>
      </c>
    </row>
    <row r="534" spans="1:15" x14ac:dyDescent="0.35">
      <c r="A534" t="s">
        <v>823</v>
      </c>
      <c r="B534" s="1">
        <v>45696</v>
      </c>
      <c r="C534" t="s">
        <v>346</v>
      </c>
      <c r="D534" t="s">
        <v>60</v>
      </c>
      <c r="E534" t="s">
        <v>61</v>
      </c>
      <c r="F534" t="s">
        <v>67</v>
      </c>
      <c r="G534" t="s">
        <v>37</v>
      </c>
      <c r="H534">
        <v>1</v>
      </c>
      <c r="I534">
        <v>78.97</v>
      </c>
      <c r="J534">
        <v>0</v>
      </c>
      <c r="K534">
        <v>78.97</v>
      </c>
      <c r="L534">
        <v>40</v>
      </c>
      <c r="M534">
        <v>38.97</v>
      </c>
      <c r="N534" t="s">
        <v>21</v>
      </c>
      <c r="O534" t="s">
        <v>28</v>
      </c>
    </row>
    <row r="535" spans="1:15" x14ac:dyDescent="0.35">
      <c r="A535" t="s">
        <v>824</v>
      </c>
      <c r="B535" s="1">
        <v>45912</v>
      </c>
      <c r="C535" t="s">
        <v>197</v>
      </c>
      <c r="D535" t="s">
        <v>45</v>
      </c>
      <c r="E535" t="s">
        <v>46</v>
      </c>
      <c r="F535" t="s">
        <v>19</v>
      </c>
      <c r="G535" t="s">
        <v>20</v>
      </c>
      <c r="H535">
        <v>1</v>
      </c>
      <c r="I535">
        <v>295.95999999999998</v>
      </c>
      <c r="J535">
        <v>0.1</v>
      </c>
      <c r="K535">
        <v>266.36</v>
      </c>
      <c r="L535">
        <v>170</v>
      </c>
      <c r="M535">
        <v>96.36</v>
      </c>
      <c r="N535" t="s">
        <v>38</v>
      </c>
      <c r="O535" t="s">
        <v>28</v>
      </c>
    </row>
    <row r="536" spans="1:15" x14ac:dyDescent="0.35">
      <c r="A536" t="s">
        <v>825</v>
      </c>
      <c r="B536" s="1">
        <v>45743</v>
      </c>
      <c r="C536" t="s">
        <v>826</v>
      </c>
      <c r="D536" t="s">
        <v>58</v>
      </c>
      <c r="E536" t="s">
        <v>18</v>
      </c>
      <c r="F536" t="s">
        <v>19</v>
      </c>
      <c r="G536" t="s">
        <v>20</v>
      </c>
      <c r="H536">
        <v>2</v>
      </c>
      <c r="I536">
        <v>261.63</v>
      </c>
      <c r="J536">
        <v>0.2</v>
      </c>
      <c r="K536">
        <v>418.61</v>
      </c>
      <c r="L536">
        <v>340</v>
      </c>
      <c r="M536">
        <v>78.61</v>
      </c>
      <c r="N536" t="s">
        <v>21</v>
      </c>
      <c r="O536" t="s">
        <v>42</v>
      </c>
    </row>
    <row r="537" spans="1:15" x14ac:dyDescent="0.35">
      <c r="A537" t="s">
        <v>827</v>
      </c>
      <c r="B537" s="1">
        <v>46007</v>
      </c>
      <c r="C537" t="s">
        <v>601</v>
      </c>
      <c r="D537" t="s">
        <v>58</v>
      </c>
      <c r="E537" t="s">
        <v>18</v>
      </c>
      <c r="F537" t="s">
        <v>51</v>
      </c>
      <c r="G537" t="s">
        <v>37</v>
      </c>
      <c r="H537">
        <v>6</v>
      </c>
      <c r="I537">
        <v>253.41</v>
      </c>
      <c r="J537">
        <v>0</v>
      </c>
      <c r="K537">
        <v>1520.46</v>
      </c>
      <c r="L537">
        <v>900</v>
      </c>
      <c r="M537">
        <v>620.46</v>
      </c>
      <c r="N537" t="s">
        <v>21</v>
      </c>
      <c r="O537" t="s">
        <v>28</v>
      </c>
    </row>
    <row r="538" spans="1:15" x14ac:dyDescent="0.35">
      <c r="A538" t="s">
        <v>828</v>
      </c>
      <c r="B538" s="1">
        <v>45837</v>
      </c>
      <c r="C538" t="s">
        <v>332</v>
      </c>
      <c r="D538" t="s">
        <v>45</v>
      </c>
      <c r="E538" t="s">
        <v>46</v>
      </c>
      <c r="F538" t="s">
        <v>19</v>
      </c>
      <c r="G538" t="s">
        <v>20</v>
      </c>
      <c r="H538">
        <v>1</v>
      </c>
      <c r="I538">
        <v>268.02</v>
      </c>
      <c r="J538">
        <v>0</v>
      </c>
      <c r="K538">
        <v>268.02</v>
      </c>
      <c r="L538">
        <v>170</v>
      </c>
      <c r="M538">
        <v>98.02</v>
      </c>
      <c r="N538" t="s">
        <v>38</v>
      </c>
      <c r="O538" t="s">
        <v>22</v>
      </c>
    </row>
    <row r="539" spans="1:15" x14ac:dyDescent="0.35">
      <c r="A539" t="s">
        <v>829</v>
      </c>
      <c r="B539" s="1">
        <v>46021</v>
      </c>
      <c r="C539" t="s">
        <v>244</v>
      </c>
      <c r="D539" t="s">
        <v>58</v>
      </c>
      <c r="E539" t="s">
        <v>18</v>
      </c>
      <c r="F539" t="s">
        <v>51</v>
      </c>
      <c r="G539" t="s">
        <v>37</v>
      </c>
      <c r="H539">
        <v>4</v>
      </c>
      <c r="I539">
        <v>246.35</v>
      </c>
      <c r="J539">
        <v>0.1</v>
      </c>
      <c r="K539">
        <v>886.86</v>
      </c>
      <c r="L539">
        <v>600</v>
      </c>
      <c r="M539">
        <v>286.86</v>
      </c>
      <c r="N539" t="s">
        <v>38</v>
      </c>
      <c r="O539" t="s">
        <v>42</v>
      </c>
    </row>
    <row r="540" spans="1:15" x14ac:dyDescent="0.35">
      <c r="A540" t="s">
        <v>830</v>
      </c>
      <c r="B540" s="1">
        <v>45829</v>
      </c>
      <c r="C540" t="s">
        <v>179</v>
      </c>
      <c r="D540" t="s">
        <v>45</v>
      </c>
      <c r="E540" t="s">
        <v>46</v>
      </c>
      <c r="F540" t="s">
        <v>78</v>
      </c>
      <c r="G540" t="s">
        <v>20</v>
      </c>
      <c r="H540">
        <v>2</v>
      </c>
      <c r="I540">
        <v>309.37</v>
      </c>
      <c r="J540">
        <v>0</v>
      </c>
      <c r="K540">
        <v>618.74</v>
      </c>
      <c r="L540">
        <v>400</v>
      </c>
      <c r="M540">
        <v>218.74</v>
      </c>
      <c r="N540" t="s">
        <v>47</v>
      </c>
      <c r="O540" t="s">
        <v>42</v>
      </c>
    </row>
    <row r="541" spans="1:15" x14ac:dyDescent="0.35">
      <c r="A541" t="s">
        <v>831</v>
      </c>
      <c r="B541" s="1">
        <v>45877</v>
      </c>
      <c r="C541" t="s">
        <v>206</v>
      </c>
      <c r="D541" t="s">
        <v>58</v>
      </c>
      <c r="E541" t="s">
        <v>18</v>
      </c>
      <c r="F541" t="s">
        <v>51</v>
      </c>
      <c r="G541" t="s">
        <v>37</v>
      </c>
      <c r="H541">
        <v>2</v>
      </c>
      <c r="I541">
        <v>253.57</v>
      </c>
      <c r="J541">
        <v>0</v>
      </c>
      <c r="K541">
        <v>507.14</v>
      </c>
      <c r="L541">
        <v>300</v>
      </c>
      <c r="M541">
        <v>207.14</v>
      </c>
      <c r="N541" t="s">
        <v>38</v>
      </c>
      <c r="O541" t="s">
        <v>28</v>
      </c>
    </row>
    <row r="542" spans="1:15" x14ac:dyDescent="0.35">
      <c r="A542" t="s">
        <v>832</v>
      </c>
      <c r="B542" s="1">
        <v>45987</v>
      </c>
      <c r="C542" t="s">
        <v>833</v>
      </c>
      <c r="D542" t="s">
        <v>58</v>
      </c>
      <c r="E542" t="s">
        <v>18</v>
      </c>
      <c r="F542" t="s">
        <v>51</v>
      </c>
      <c r="G542" t="s">
        <v>37</v>
      </c>
      <c r="H542">
        <v>2</v>
      </c>
      <c r="I542">
        <v>228.39</v>
      </c>
      <c r="J542">
        <v>0.05</v>
      </c>
      <c r="K542">
        <v>433.94</v>
      </c>
      <c r="L542">
        <v>300</v>
      </c>
      <c r="M542">
        <v>133.94</v>
      </c>
      <c r="N542" t="s">
        <v>38</v>
      </c>
      <c r="O542" t="s">
        <v>28</v>
      </c>
    </row>
    <row r="543" spans="1:15" x14ac:dyDescent="0.35">
      <c r="A543" t="s">
        <v>834</v>
      </c>
      <c r="B543" s="1">
        <v>45692</v>
      </c>
      <c r="C543" t="s">
        <v>835</v>
      </c>
      <c r="D543" t="s">
        <v>31</v>
      </c>
      <c r="E543" t="s">
        <v>32</v>
      </c>
      <c r="F543" t="s">
        <v>67</v>
      </c>
      <c r="G543" t="s">
        <v>37</v>
      </c>
      <c r="H543">
        <v>2</v>
      </c>
      <c r="I543">
        <v>75.959999999999994</v>
      </c>
      <c r="J543">
        <v>0.05</v>
      </c>
      <c r="K543">
        <v>144.32</v>
      </c>
      <c r="L543">
        <v>80</v>
      </c>
      <c r="M543">
        <v>64.319999999999993</v>
      </c>
      <c r="N543" t="s">
        <v>33</v>
      </c>
      <c r="O543" t="s">
        <v>28</v>
      </c>
    </row>
    <row r="544" spans="1:15" x14ac:dyDescent="0.35">
      <c r="A544" t="s">
        <v>836</v>
      </c>
      <c r="B544" s="1">
        <v>45836</v>
      </c>
      <c r="C544" t="s">
        <v>143</v>
      </c>
      <c r="D544" t="s">
        <v>50</v>
      </c>
      <c r="E544" t="s">
        <v>32</v>
      </c>
      <c r="F544" t="s">
        <v>36</v>
      </c>
      <c r="G544" t="s">
        <v>37</v>
      </c>
      <c r="H544">
        <v>1</v>
      </c>
      <c r="I544">
        <v>122.83</v>
      </c>
      <c r="J544">
        <v>0.05</v>
      </c>
      <c r="K544">
        <v>116.69</v>
      </c>
      <c r="L544">
        <v>60</v>
      </c>
      <c r="M544">
        <v>56.69</v>
      </c>
      <c r="N544" t="s">
        <v>47</v>
      </c>
      <c r="O544" t="s">
        <v>22</v>
      </c>
    </row>
    <row r="545" spans="1:15" x14ac:dyDescent="0.35">
      <c r="A545" t="s">
        <v>837</v>
      </c>
      <c r="B545" s="1">
        <v>45984</v>
      </c>
      <c r="C545" t="s">
        <v>137</v>
      </c>
      <c r="D545" t="s">
        <v>45</v>
      </c>
      <c r="E545" t="s">
        <v>46</v>
      </c>
      <c r="F545" t="s">
        <v>51</v>
      </c>
      <c r="G545" t="s">
        <v>37</v>
      </c>
      <c r="H545">
        <v>1</v>
      </c>
      <c r="I545">
        <v>244.89</v>
      </c>
      <c r="J545">
        <v>0</v>
      </c>
      <c r="K545">
        <v>244.89</v>
      </c>
      <c r="L545">
        <v>150</v>
      </c>
      <c r="M545">
        <v>94.89</v>
      </c>
      <c r="N545" t="s">
        <v>21</v>
      </c>
      <c r="O545" t="s">
        <v>22</v>
      </c>
    </row>
    <row r="546" spans="1:15" x14ac:dyDescent="0.35">
      <c r="A546" t="s">
        <v>838</v>
      </c>
      <c r="B546" s="1">
        <v>45767</v>
      </c>
      <c r="C546" t="s">
        <v>97</v>
      </c>
      <c r="D546" t="s">
        <v>25</v>
      </c>
      <c r="E546" t="s">
        <v>26</v>
      </c>
      <c r="F546" t="s">
        <v>27</v>
      </c>
      <c r="G546" t="s">
        <v>20</v>
      </c>
      <c r="H546">
        <v>2</v>
      </c>
      <c r="I546">
        <v>204.81</v>
      </c>
      <c r="J546">
        <v>0.15</v>
      </c>
      <c r="K546">
        <v>348.18</v>
      </c>
      <c r="L546">
        <v>220</v>
      </c>
      <c r="M546">
        <v>128.18</v>
      </c>
      <c r="N546" t="s">
        <v>21</v>
      </c>
      <c r="O546" t="s">
        <v>28</v>
      </c>
    </row>
    <row r="547" spans="1:15" x14ac:dyDescent="0.35">
      <c r="A547" t="s">
        <v>839</v>
      </c>
      <c r="B547" s="1">
        <v>45828</v>
      </c>
      <c r="C547" t="s">
        <v>358</v>
      </c>
      <c r="D547" t="s">
        <v>31</v>
      </c>
      <c r="E547" t="s">
        <v>32</v>
      </c>
      <c r="F547" t="s">
        <v>51</v>
      </c>
      <c r="G547" t="s">
        <v>37</v>
      </c>
      <c r="H547">
        <v>3</v>
      </c>
      <c r="I547">
        <v>256.95999999999998</v>
      </c>
      <c r="J547">
        <v>0</v>
      </c>
      <c r="K547">
        <v>770.88</v>
      </c>
      <c r="L547">
        <v>450</v>
      </c>
      <c r="M547">
        <v>320.88</v>
      </c>
      <c r="N547" t="s">
        <v>21</v>
      </c>
      <c r="O547" t="s">
        <v>42</v>
      </c>
    </row>
    <row r="548" spans="1:15" x14ac:dyDescent="0.35">
      <c r="A548" t="s">
        <v>840</v>
      </c>
      <c r="B548" s="1">
        <v>45976</v>
      </c>
      <c r="C548" t="s">
        <v>841</v>
      </c>
      <c r="D548" t="s">
        <v>60</v>
      </c>
      <c r="E548" t="s">
        <v>61</v>
      </c>
      <c r="F548" t="s">
        <v>67</v>
      </c>
      <c r="G548" t="s">
        <v>37</v>
      </c>
      <c r="H548">
        <v>3</v>
      </c>
      <c r="I548">
        <v>76.02</v>
      </c>
      <c r="J548">
        <v>0</v>
      </c>
      <c r="K548">
        <v>228.06</v>
      </c>
      <c r="L548">
        <v>120</v>
      </c>
      <c r="M548">
        <v>108.06</v>
      </c>
      <c r="N548" t="s">
        <v>47</v>
      </c>
      <c r="O548" t="s">
        <v>28</v>
      </c>
    </row>
    <row r="549" spans="1:15" x14ac:dyDescent="0.35">
      <c r="A549" t="s">
        <v>842</v>
      </c>
      <c r="B549" s="1">
        <v>45906</v>
      </c>
      <c r="C549" t="s">
        <v>667</v>
      </c>
      <c r="D549" t="s">
        <v>66</v>
      </c>
      <c r="E549" t="s">
        <v>61</v>
      </c>
      <c r="F549" t="s">
        <v>27</v>
      </c>
      <c r="G549" t="s">
        <v>20</v>
      </c>
      <c r="H549">
        <v>6</v>
      </c>
      <c r="I549">
        <v>198.5</v>
      </c>
      <c r="J549">
        <v>0.05</v>
      </c>
      <c r="K549">
        <v>1131.45</v>
      </c>
      <c r="L549">
        <v>660</v>
      </c>
      <c r="M549">
        <v>471.45</v>
      </c>
      <c r="N549" t="s">
        <v>47</v>
      </c>
      <c r="O549" t="s">
        <v>28</v>
      </c>
    </row>
    <row r="550" spans="1:15" x14ac:dyDescent="0.35">
      <c r="A550" t="s">
        <v>843</v>
      </c>
      <c r="B550" s="1">
        <v>45682</v>
      </c>
      <c r="C550" t="s">
        <v>259</v>
      </c>
      <c r="D550" t="s">
        <v>17</v>
      </c>
      <c r="E550" t="s">
        <v>18</v>
      </c>
      <c r="F550" t="s">
        <v>78</v>
      </c>
      <c r="G550" t="s">
        <v>20</v>
      </c>
      <c r="H550">
        <v>3</v>
      </c>
      <c r="I550">
        <v>333.58</v>
      </c>
      <c r="J550">
        <v>0</v>
      </c>
      <c r="K550">
        <v>1000.74</v>
      </c>
      <c r="L550">
        <v>600</v>
      </c>
      <c r="M550">
        <v>400.74</v>
      </c>
      <c r="N550" t="s">
        <v>21</v>
      </c>
      <c r="O550" t="s">
        <v>42</v>
      </c>
    </row>
    <row r="551" spans="1:15" x14ac:dyDescent="0.35">
      <c r="A551" t="s">
        <v>844</v>
      </c>
      <c r="B551" s="1">
        <v>45771</v>
      </c>
      <c r="C551" t="s">
        <v>97</v>
      </c>
      <c r="D551" t="s">
        <v>45</v>
      </c>
      <c r="E551" t="s">
        <v>46</v>
      </c>
      <c r="F551" t="s">
        <v>41</v>
      </c>
      <c r="G551" t="s">
        <v>37</v>
      </c>
      <c r="H551">
        <v>3</v>
      </c>
      <c r="I551">
        <v>843.4</v>
      </c>
      <c r="J551">
        <v>0.1</v>
      </c>
      <c r="K551">
        <v>2277.1799999999998</v>
      </c>
      <c r="L551">
        <v>1800</v>
      </c>
      <c r="M551">
        <v>477.18</v>
      </c>
      <c r="N551" t="s">
        <v>33</v>
      </c>
      <c r="O551" t="s">
        <v>28</v>
      </c>
    </row>
    <row r="552" spans="1:15" x14ac:dyDescent="0.35">
      <c r="A552" t="s">
        <v>845</v>
      </c>
      <c r="B552" s="1">
        <v>45890</v>
      </c>
      <c r="C552" t="s">
        <v>549</v>
      </c>
      <c r="D552" t="s">
        <v>60</v>
      </c>
      <c r="E552" t="s">
        <v>61</v>
      </c>
      <c r="F552" t="s">
        <v>36</v>
      </c>
      <c r="G552" t="s">
        <v>37</v>
      </c>
      <c r="H552">
        <v>3</v>
      </c>
      <c r="I552">
        <v>114.26</v>
      </c>
      <c r="J552">
        <v>0.05</v>
      </c>
      <c r="K552">
        <v>325.64</v>
      </c>
      <c r="L552">
        <v>180</v>
      </c>
      <c r="M552">
        <v>145.63999999999999</v>
      </c>
      <c r="N552" t="s">
        <v>38</v>
      </c>
      <c r="O552" t="s">
        <v>28</v>
      </c>
    </row>
    <row r="553" spans="1:15" x14ac:dyDescent="0.35">
      <c r="A553" t="s">
        <v>846</v>
      </c>
      <c r="B553" s="1">
        <v>45844</v>
      </c>
      <c r="C553" t="s">
        <v>57</v>
      </c>
      <c r="D553" t="s">
        <v>60</v>
      </c>
      <c r="E553" t="s">
        <v>61</v>
      </c>
      <c r="F553" t="s">
        <v>36</v>
      </c>
      <c r="G553" t="s">
        <v>37</v>
      </c>
      <c r="H553">
        <v>2</v>
      </c>
      <c r="I553">
        <v>116.83</v>
      </c>
      <c r="J553">
        <v>0</v>
      </c>
      <c r="K553">
        <v>233.66</v>
      </c>
      <c r="L553">
        <v>120</v>
      </c>
      <c r="M553">
        <v>113.66</v>
      </c>
      <c r="N553" t="s">
        <v>33</v>
      </c>
      <c r="O553" t="s">
        <v>42</v>
      </c>
    </row>
    <row r="554" spans="1:15" x14ac:dyDescent="0.35">
      <c r="A554" t="s">
        <v>847</v>
      </c>
      <c r="B554" s="1">
        <v>45825</v>
      </c>
      <c r="C554" t="s">
        <v>848</v>
      </c>
      <c r="D554" t="s">
        <v>25</v>
      </c>
      <c r="E554" t="s">
        <v>26</v>
      </c>
      <c r="F554" t="s">
        <v>78</v>
      </c>
      <c r="G554" t="s">
        <v>20</v>
      </c>
      <c r="H554">
        <v>2</v>
      </c>
      <c r="I554">
        <v>350.85</v>
      </c>
      <c r="J554">
        <v>0.05</v>
      </c>
      <c r="K554">
        <v>666.62</v>
      </c>
      <c r="L554">
        <v>400</v>
      </c>
      <c r="M554">
        <v>266.62</v>
      </c>
      <c r="N554" t="s">
        <v>38</v>
      </c>
      <c r="O554" t="s">
        <v>28</v>
      </c>
    </row>
    <row r="555" spans="1:15" x14ac:dyDescent="0.35">
      <c r="A555" t="s">
        <v>849</v>
      </c>
      <c r="B555" s="1">
        <v>45703</v>
      </c>
      <c r="C555" t="s">
        <v>850</v>
      </c>
      <c r="D555" t="s">
        <v>25</v>
      </c>
      <c r="E555" t="s">
        <v>26</v>
      </c>
      <c r="F555" t="s">
        <v>67</v>
      </c>
      <c r="G555" t="s">
        <v>37</v>
      </c>
      <c r="H555">
        <v>3</v>
      </c>
      <c r="I555">
        <v>75.48</v>
      </c>
      <c r="J555">
        <v>0.05</v>
      </c>
      <c r="K555">
        <v>215.12</v>
      </c>
      <c r="L555">
        <v>120</v>
      </c>
      <c r="M555">
        <v>95.12</v>
      </c>
      <c r="N555" t="s">
        <v>21</v>
      </c>
      <c r="O555" t="s">
        <v>28</v>
      </c>
    </row>
    <row r="556" spans="1:15" x14ac:dyDescent="0.35">
      <c r="A556" t="s">
        <v>851</v>
      </c>
      <c r="B556" s="1">
        <v>46000</v>
      </c>
      <c r="C556" t="s">
        <v>216</v>
      </c>
      <c r="D556" t="s">
        <v>58</v>
      </c>
      <c r="E556" t="s">
        <v>18</v>
      </c>
      <c r="F556" t="s">
        <v>36</v>
      </c>
      <c r="G556" t="s">
        <v>37</v>
      </c>
      <c r="H556">
        <v>2</v>
      </c>
      <c r="I556">
        <v>123.26</v>
      </c>
      <c r="J556">
        <v>0</v>
      </c>
      <c r="K556">
        <v>246.52</v>
      </c>
      <c r="L556">
        <v>120</v>
      </c>
      <c r="M556">
        <v>126.52</v>
      </c>
      <c r="N556" t="s">
        <v>38</v>
      </c>
      <c r="O556" t="s">
        <v>28</v>
      </c>
    </row>
    <row r="557" spans="1:15" x14ac:dyDescent="0.35">
      <c r="A557" t="s">
        <v>852</v>
      </c>
      <c r="B557" s="1">
        <v>46004</v>
      </c>
      <c r="C557" t="s">
        <v>853</v>
      </c>
      <c r="D557" t="s">
        <v>50</v>
      </c>
      <c r="E557" t="s">
        <v>32</v>
      </c>
      <c r="F557" t="s">
        <v>67</v>
      </c>
      <c r="G557" t="s">
        <v>37</v>
      </c>
      <c r="H557">
        <v>1</v>
      </c>
      <c r="I557">
        <v>71.5</v>
      </c>
      <c r="J557">
        <v>0.1</v>
      </c>
      <c r="K557">
        <v>64.349999999999994</v>
      </c>
      <c r="L557">
        <v>40</v>
      </c>
      <c r="M557">
        <v>24.35</v>
      </c>
      <c r="N557" t="s">
        <v>38</v>
      </c>
      <c r="O557" t="s">
        <v>42</v>
      </c>
    </row>
    <row r="558" spans="1:15" x14ac:dyDescent="0.35">
      <c r="A558" t="s">
        <v>854</v>
      </c>
      <c r="B558" s="1">
        <v>45791</v>
      </c>
      <c r="C558" t="s">
        <v>299</v>
      </c>
      <c r="D558" t="s">
        <v>58</v>
      </c>
      <c r="E558" t="s">
        <v>18</v>
      </c>
      <c r="F558" t="s">
        <v>41</v>
      </c>
      <c r="G558" t="s">
        <v>37</v>
      </c>
      <c r="H558">
        <v>3</v>
      </c>
      <c r="I558">
        <v>829.13</v>
      </c>
      <c r="J558">
        <v>0</v>
      </c>
      <c r="K558">
        <v>2487.39</v>
      </c>
      <c r="L558">
        <v>1800</v>
      </c>
      <c r="M558">
        <v>687.39</v>
      </c>
      <c r="N558" t="s">
        <v>47</v>
      </c>
      <c r="O558" t="s">
        <v>28</v>
      </c>
    </row>
    <row r="559" spans="1:15" x14ac:dyDescent="0.35">
      <c r="A559" t="s">
        <v>855</v>
      </c>
      <c r="B559" s="1">
        <v>45758</v>
      </c>
      <c r="C559" t="s">
        <v>856</v>
      </c>
      <c r="D559" t="s">
        <v>31</v>
      </c>
      <c r="E559" t="s">
        <v>32</v>
      </c>
      <c r="F559" t="s">
        <v>19</v>
      </c>
      <c r="G559" t="s">
        <v>20</v>
      </c>
      <c r="H559">
        <v>1</v>
      </c>
      <c r="I559">
        <v>267.77999999999997</v>
      </c>
      <c r="J559">
        <v>0.05</v>
      </c>
      <c r="K559">
        <v>254.39</v>
      </c>
      <c r="L559">
        <v>170</v>
      </c>
      <c r="M559">
        <v>84.39</v>
      </c>
      <c r="N559" t="s">
        <v>47</v>
      </c>
      <c r="O559" t="s">
        <v>28</v>
      </c>
    </row>
    <row r="560" spans="1:15" x14ac:dyDescent="0.35">
      <c r="A560" t="s">
        <v>857</v>
      </c>
      <c r="B560" s="1">
        <v>45695</v>
      </c>
      <c r="C560" t="s">
        <v>626</v>
      </c>
      <c r="D560" t="s">
        <v>31</v>
      </c>
      <c r="E560" t="s">
        <v>32</v>
      </c>
      <c r="F560" t="s">
        <v>19</v>
      </c>
      <c r="G560" t="s">
        <v>20</v>
      </c>
      <c r="H560">
        <v>2</v>
      </c>
      <c r="I560">
        <v>265.85000000000002</v>
      </c>
      <c r="J560">
        <v>0</v>
      </c>
      <c r="K560">
        <v>531.70000000000005</v>
      </c>
      <c r="L560">
        <v>340</v>
      </c>
      <c r="M560">
        <v>191.7</v>
      </c>
      <c r="N560" t="s">
        <v>21</v>
      </c>
      <c r="O560" t="s">
        <v>42</v>
      </c>
    </row>
    <row r="561" spans="1:15" x14ac:dyDescent="0.35">
      <c r="A561" t="s">
        <v>858</v>
      </c>
      <c r="B561" s="1">
        <v>45898</v>
      </c>
      <c r="C561" t="s">
        <v>698</v>
      </c>
      <c r="D561" t="s">
        <v>17</v>
      </c>
      <c r="E561" t="s">
        <v>18</v>
      </c>
      <c r="F561" t="s">
        <v>19</v>
      </c>
      <c r="G561" t="s">
        <v>20</v>
      </c>
      <c r="H561">
        <v>1</v>
      </c>
      <c r="I561">
        <v>284.2</v>
      </c>
      <c r="J561">
        <v>0</v>
      </c>
      <c r="K561">
        <v>284.2</v>
      </c>
      <c r="L561">
        <v>170</v>
      </c>
      <c r="M561">
        <v>114.2</v>
      </c>
      <c r="N561" t="s">
        <v>33</v>
      </c>
      <c r="O561" t="s">
        <v>42</v>
      </c>
    </row>
    <row r="562" spans="1:15" x14ac:dyDescent="0.35">
      <c r="A562" t="s">
        <v>859</v>
      </c>
      <c r="B562" s="1">
        <v>46002</v>
      </c>
      <c r="C562" t="s">
        <v>632</v>
      </c>
      <c r="D562" t="s">
        <v>25</v>
      </c>
      <c r="E562" t="s">
        <v>26</v>
      </c>
      <c r="F562" t="s">
        <v>108</v>
      </c>
      <c r="G562" t="s">
        <v>37</v>
      </c>
      <c r="H562">
        <v>3</v>
      </c>
      <c r="I562">
        <v>432.4</v>
      </c>
      <c r="J562">
        <v>0.1</v>
      </c>
      <c r="K562">
        <v>1167.48</v>
      </c>
      <c r="L562">
        <v>840</v>
      </c>
      <c r="M562">
        <v>327.48</v>
      </c>
      <c r="N562" t="s">
        <v>47</v>
      </c>
      <c r="O562" t="s">
        <v>28</v>
      </c>
    </row>
    <row r="563" spans="1:15" x14ac:dyDescent="0.35">
      <c r="A563" t="s">
        <v>860</v>
      </c>
      <c r="B563" s="1">
        <v>45993</v>
      </c>
      <c r="C563" t="s">
        <v>291</v>
      </c>
      <c r="D563" t="s">
        <v>17</v>
      </c>
      <c r="E563" t="s">
        <v>18</v>
      </c>
      <c r="F563" t="s">
        <v>27</v>
      </c>
      <c r="G563" t="s">
        <v>20</v>
      </c>
      <c r="H563">
        <v>1</v>
      </c>
      <c r="I563">
        <v>194.21</v>
      </c>
      <c r="J563">
        <v>0</v>
      </c>
      <c r="K563">
        <v>194.21</v>
      </c>
      <c r="L563">
        <v>110</v>
      </c>
      <c r="M563">
        <v>84.21</v>
      </c>
      <c r="N563" t="s">
        <v>47</v>
      </c>
      <c r="O563" t="s">
        <v>42</v>
      </c>
    </row>
    <row r="564" spans="1:15" x14ac:dyDescent="0.35">
      <c r="A564" t="s">
        <v>861</v>
      </c>
      <c r="B564" s="1">
        <v>45705</v>
      </c>
      <c r="C564" t="s">
        <v>332</v>
      </c>
      <c r="D564" t="s">
        <v>58</v>
      </c>
      <c r="E564" t="s">
        <v>18</v>
      </c>
      <c r="F564" t="s">
        <v>51</v>
      </c>
      <c r="G564" t="s">
        <v>37</v>
      </c>
      <c r="H564">
        <v>3</v>
      </c>
      <c r="I564">
        <v>250.3</v>
      </c>
      <c r="J564">
        <v>0.1</v>
      </c>
      <c r="K564">
        <v>675.81</v>
      </c>
      <c r="L564">
        <v>450</v>
      </c>
      <c r="M564">
        <v>225.81</v>
      </c>
      <c r="N564" t="s">
        <v>21</v>
      </c>
      <c r="O564" t="s">
        <v>28</v>
      </c>
    </row>
    <row r="565" spans="1:15" x14ac:dyDescent="0.35">
      <c r="A565" t="s">
        <v>862</v>
      </c>
      <c r="B565" s="1">
        <v>45672</v>
      </c>
      <c r="C565" t="s">
        <v>426</v>
      </c>
      <c r="D565" t="s">
        <v>17</v>
      </c>
      <c r="E565" t="s">
        <v>18</v>
      </c>
      <c r="F565" t="s">
        <v>51</v>
      </c>
      <c r="G565" t="s">
        <v>37</v>
      </c>
      <c r="H565">
        <v>4</v>
      </c>
      <c r="I565">
        <v>237.16</v>
      </c>
      <c r="J565">
        <v>0</v>
      </c>
      <c r="K565">
        <v>948.64</v>
      </c>
      <c r="L565">
        <v>600</v>
      </c>
      <c r="M565">
        <v>348.64</v>
      </c>
      <c r="N565" t="s">
        <v>21</v>
      </c>
      <c r="O565" t="s">
        <v>22</v>
      </c>
    </row>
    <row r="566" spans="1:15" x14ac:dyDescent="0.35">
      <c r="A566" t="s">
        <v>863</v>
      </c>
      <c r="B566" s="1">
        <v>45904</v>
      </c>
      <c r="C566" t="s">
        <v>135</v>
      </c>
      <c r="D566" t="s">
        <v>50</v>
      </c>
      <c r="E566" t="s">
        <v>32</v>
      </c>
      <c r="F566" t="s">
        <v>67</v>
      </c>
      <c r="G566" t="s">
        <v>37</v>
      </c>
      <c r="H566">
        <v>4</v>
      </c>
      <c r="I566">
        <v>79.209999999999994</v>
      </c>
      <c r="J566">
        <v>0.15</v>
      </c>
      <c r="K566">
        <v>269.31</v>
      </c>
      <c r="L566">
        <v>160</v>
      </c>
      <c r="M566">
        <v>109.31</v>
      </c>
      <c r="N566" t="s">
        <v>38</v>
      </c>
      <c r="O566" t="s">
        <v>28</v>
      </c>
    </row>
    <row r="567" spans="1:15" x14ac:dyDescent="0.35">
      <c r="A567" t="s">
        <v>864</v>
      </c>
      <c r="B567" s="1">
        <v>45762</v>
      </c>
      <c r="C567" t="s">
        <v>377</v>
      </c>
      <c r="D567" t="s">
        <v>25</v>
      </c>
      <c r="E567" t="s">
        <v>26</v>
      </c>
      <c r="F567" t="s">
        <v>36</v>
      </c>
      <c r="G567" t="s">
        <v>37</v>
      </c>
      <c r="H567">
        <v>1</v>
      </c>
      <c r="I567">
        <v>128</v>
      </c>
      <c r="J567">
        <v>0</v>
      </c>
      <c r="K567">
        <v>128</v>
      </c>
      <c r="L567">
        <v>60</v>
      </c>
      <c r="M567">
        <v>68</v>
      </c>
      <c r="N567" t="s">
        <v>33</v>
      </c>
      <c r="O567" t="s">
        <v>28</v>
      </c>
    </row>
    <row r="568" spans="1:15" x14ac:dyDescent="0.35">
      <c r="A568" t="s">
        <v>865</v>
      </c>
      <c r="B568" s="1">
        <v>45821</v>
      </c>
      <c r="C568" t="s">
        <v>729</v>
      </c>
      <c r="D568" t="s">
        <v>25</v>
      </c>
      <c r="E568" t="s">
        <v>26</v>
      </c>
      <c r="F568" t="s">
        <v>19</v>
      </c>
      <c r="G568" t="s">
        <v>20</v>
      </c>
      <c r="H568">
        <v>3</v>
      </c>
      <c r="I568">
        <v>288.35000000000002</v>
      </c>
      <c r="J568">
        <v>0</v>
      </c>
      <c r="K568">
        <v>865.05</v>
      </c>
      <c r="L568">
        <v>510</v>
      </c>
      <c r="M568">
        <v>355.05</v>
      </c>
      <c r="N568" t="s">
        <v>21</v>
      </c>
      <c r="O568" t="s">
        <v>28</v>
      </c>
    </row>
    <row r="569" spans="1:15" x14ac:dyDescent="0.35">
      <c r="A569" t="s">
        <v>866</v>
      </c>
      <c r="B569" s="1">
        <v>45936</v>
      </c>
      <c r="C569" t="s">
        <v>162</v>
      </c>
      <c r="D569" t="s">
        <v>45</v>
      </c>
      <c r="E569" t="s">
        <v>46</v>
      </c>
      <c r="F569" t="s">
        <v>27</v>
      </c>
      <c r="G569" t="s">
        <v>20</v>
      </c>
      <c r="H569">
        <v>4</v>
      </c>
      <c r="I569">
        <v>190.03</v>
      </c>
      <c r="J569">
        <v>0</v>
      </c>
      <c r="K569">
        <v>760.12</v>
      </c>
      <c r="L569">
        <v>440</v>
      </c>
      <c r="M569">
        <v>320.12</v>
      </c>
      <c r="N569" t="s">
        <v>38</v>
      </c>
      <c r="O569" t="s">
        <v>42</v>
      </c>
    </row>
    <row r="570" spans="1:15" x14ac:dyDescent="0.35">
      <c r="A570" t="s">
        <v>867</v>
      </c>
      <c r="B570" s="1">
        <v>45933</v>
      </c>
      <c r="C570" t="s">
        <v>868</v>
      </c>
      <c r="D570" t="s">
        <v>17</v>
      </c>
      <c r="E570" t="s">
        <v>18</v>
      </c>
      <c r="F570" t="s">
        <v>51</v>
      </c>
      <c r="G570" t="s">
        <v>37</v>
      </c>
      <c r="H570">
        <v>1</v>
      </c>
      <c r="I570">
        <v>250.75</v>
      </c>
      <c r="J570">
        <v>0.05</v>
      </c>
      <c r="K570">
        <v>238.21</v>
      </c>
      <c r="L570">
        <v>150</v>
      </c>
      <c r="M570">
        <v>88.21</v>
      </c>
      <c r="N570" t="s">
        <v>21</v>
      </c>
      <c r="O570" t="s">
        <v>28</v>
      </c>
    </row>
    <row r="571" spans="1:15" x14ac:dyDescent="0.35">
      <c r="A571" t="s">
        <v>869</v>
      </c>
      <c r="B571" s="1">
        <v>45843</v>
      </c>
      <c r="C571" t="s">
        <v>870</v>
      </c>
      <c r="D571" t="s">
        <v>58</v>
      </c>
      <c r="E571" t="s">
        <v>18</v>
      </c>
      <c r="F571" t="s">
        <v>108</v>
      </c>
      <c r="G571" t="s">
        <v>37</v>
      </c>
      <c r="H571">
        <v>1</v>
      </c>
      <c r="I571">
        <v>433.73</v>
      </c>
      <c r="J571">
        <v>0</v>
      </c>
      <c r="K571">
        <v>433.73</v>
      </c>
      <c r="L571">
        <v>280</v>
      </c>
      <c r="M571">
        <v>153.72999999999999</v>
      </c>
      <c r="N571" t="s">
        <v>21</v>
      </c>
      <c r="O571" t="s">
        <v>42</v>
      </c>
    </row>
    <row r="572" spans="1:15" x14ac:dyDescent="0.35">
      <c r="A572" t="s">
        <v>871</v>
      </c>
      <c r="B572" s="1">
        <v>45873</v>
      </c>
      <c r="C572" t="s">
        <v>872</v>
      </c>
      <c r="D572" t="s">
        <v>60</v>
      </c>
      <c r="E572" t="s">
        <v>61</v>
      </c>
      <c r="F572" t="s">
        <v>67</v>
      </c>
      <c r="G572" t="s">
        <v>37</v>
      </c>
      <c r="H572">
        <v>4</v>
      </c>
      <c r="I572">
        <v>78.709999999999994</v>
      </c>
      <c r="J572">
        <v>0</v>
      </c>
      <c r="K572">
        <v>314.83999999999997</v>
      </c>
      <c r="L572">
        <v>160</v>
      </c>
      <c r="M572">
        <v>154.84</v>
      </c>
      <c r="N572" t="s">
        <v>38</v>
      </c>
      <c r="O572" t="s">
        <v>42</v>
      </c>
    </row>
    <row r="573" spans="1:15" x14ac:dyDescent="0.35">
      <c r="A573" t="s">
        <v>873</v>
      </c>
      <c r="B573" s="1">
        <v>45687</v>
      </c>
      <c r="C573" t="s">
        <v>262</v>
      </c>
      <c r="D573" t="s">
        <v>58</v>
      </c>
      <c r="E573" t="s">
        <v>18</v>
      </c>
      <c r="F573" t="s">
        <v>41</v>
      </c>
      <c r="G573" t="s">
        <v>37</v>
      </c>
      <c r="H573">
        <v>1</v>
      </c>
      <c r="I573">
        <v>819.55</v>
      </c>
      <c r="J573">
        <v>0.05</v>
      </c>
      <c r="K573">
        <v>778.57</v>
      </c>
      <c r="L573">
        <v>600</v>
      </c>
      <c r="M573">
        <v>178.57</v>
      </c>
      <c r="N573" t="s">
        <v>21</v>
      </c>
      <c r="O573" t="s">
        <v>22</v>
      </c>
    </row>
    <row r="574" spans="1:15" x14ac:dyDescent="0.35">
      <c r="A574" t="s">
        <v>874</v>
      </c>
      <c r="B574" s="1">
        <v>45699</v>
      </c>
      <c r="C574" t="s">
        <v>647</v>
      </c>
      <c r="D574" t="s">
        <v>60</v>
      </c>
      <c r="E574" t="s">
        <v>61</v>
      </c>
      <c r="F574" t="s">
        <v>51</v>
      </c>
      <c r="G574" t="s">
        <v>37</v>
      </c>
      <c r="H574">
        <v>5</v>
      </c>
      <c r="I574">
        <v>252.49</v>
      </c>
      <c r="J574">
        <v>0.1</v>
      </c>
      <c r="K574">
        <v>1136.21</v>
      </c>
      <c r="L574">
        <v>750</v>
      </c>
      <c r="M574">
        <v>386.21</v>
      </c>
      <c r="N574" t="s">
        <v>33</v>
      </c>
      <c r="O574" t="s">
        <v>28</v>
      </c>
    </row>
    <row r="575" spans="1:15" x14ac:dyDescent="0.35">
      <c r="A575" t="s">
        <v>875</v>
      </c>
      <c r="B575" s="1">
        <v>45791</v>
      </c>
      <c r="C575" t="s">
        <v>870</v>
      </c>
      <c r="D575" t="s">
        <v>50</v>
      </c>
      <c r="E575" t="s">
        <v>32</v>
      </c>
      <c r="F575" t="s">
        <v>78</v>
      </c>
      <c r="G575" t="s">
        <v>20</v>
      </c>
      <c r="H575">
        <v>2</v>
      </c>
      <c r="I575">
        <v>336.03</v>
      </c>
      <c r="J575">
        <v>0.05</v>
      </c>
      <c r="K575">
        <v>638.46</v>
      </c>
      <c r="L575">
        <v>400</v>
      </c>
      <c r="M575">
        <v>238.46</v>
      </c>
      <c r="N575" t="s">
        <v>21</v>
      </c>
      <c r="O575" t="s">
        <v>22</v>
      </c>
    </row>
    <row r="576" spans="1:15" x14ac:dyDescent="0.35">
      <c r="A576" t="s">
        <v>876</v>
      </c>
      <c r="B576" s="1">
        <v>45823</v>
      </c>
      <c r="C576" t="s">
        <v>877</v>
      </c>
      <c r="D576" t="s">
        <v>50</v>
      </c>
      <c r="E576" t="s">
        <v>32</v>
      </c>
      <c r="F576" t="s">
        <v>78</v>
      </c>
      <c r="G576" t="s">
        <v>20</v>
      </c>
      <c r="H576">
        <v>2</v>
      </c>
      <c r="I576">
        <v>337.59</v>
      </c>
      <c r="J576">
        <v>0</v>
      </c>
      <c r="K576">
        <v>675.18</v>
      </c>
      <c r="L576">
        <v>400</v>
      </c>
      <c r="M576">
        <v>275.18</v>
      </c>
      <c r="N576" t="s">
        <v>33</v>
      </c>
      <c r="O576" t="s">
        <v>22</v>
      </c>
    </row>
    <row r="577" spans="1:15" x14ac:dyDescent="0.35">
      <c r="A577" t="s">
        <v>878</v>
      </c>
      <c r="B577" s="1">
        <v>45769</v>
      </c>
      <c r="C577" t="s">
        <v>835</v>
      </c>
      <c r="D577" t="s">
        <v>25</v>
      </c>
      <c r="E577" t="s">
        <v>26</v>
      </c>
      <c r="F577" t="s">
        <v>78</v>
      </c>
      <c r="G577" t="s">
        <v>20</v>
      </c>
      <c r="H577">
        <v>4</v>
      </c>
      <c r="I577">
        <v>338.54</v>
      </c>
      <c r="J577">
        <v>0</v>
      </c>
      <c r="K577">
        <v>1354.16</v>
      </c>
      <c r="L577">
        <v>800</v>
      </c>
      <c r="M577">
        <v>554.16</v>
      </c>
      <c r="N577" t="s">
        <v>38</v>
      </c>
      <c r="O577" t="s">
        <v>42</v>
      </c>
    </row>
    <row r="578" spans="1:15" x14ac:dyDescent="0.35">
      <c r="A578" t="s">
        <v>879</v>
      </c>
      <c r="B578" s="1">
        <v>45903</v>
      </c>
      <c r="C578" t="s">
        <v>868</v>
      </c>
      <c r="D578" t="s">
        <v>50</v>
      </c>
      <c r="E578" t="s">
        <v>32</v>
      </c>
      <c r="F578" t="s">
        <v>27</v>
      </c>
      <c r="G578" t="s">
        <v>20</v>
      </c>
      <c r="H578">
        <v>4</v>
      </c>
      <c r="I578">
        <v>185.88</v>
      </c>
      <c r="J578">
        <v>0.15</v>
      </c>
      <c r="K578">
        <v>631.99</v>
      </c>
      <c r="L578">
        <v>440</v>
      </c>
      <c r="M578">
        <v>191.99</v>
      </c>
      <c r="N578" t="s">
        <v>21</v>
      </c>
      <c r="O578" t="s">
        <v>22</v>
      </c>
    </row>
    <row r="579" spans="1:15" x14ac:dyDescent="0.35">
      <c r="A579" t="s">
        <v>880</v>
      </c>
      <c r="B579" s="1">
        <v>45955</v>
      </c>
      <c r="C579" t="s">
        <v>284</v>
      </c>
      <c r="D579" t="s">
        <v>50</v>
      </c>
      <c r="E579" t="s">
        <v>32</v>
      </c>
      <c r="F579" t="s">
        <v>41</v>
      </c>
      <c r="G579" t="s">
        <v>37</v>
      </c>
      <c r="H579">
        <v>1</v>
      </c>
      <c r="I579">
        <v>863.98</v>
      </c>
      <c r="J579">
        <v>0.1</v>
      </c>
      <c r="K579">
        <v>777.58</v>
      </c>
      <c r="L579">
        <v>600</v>
      </c>
      <c r="M579">
        <v>177.58</v>
      </c>
      <c r="N579" t="s">
        <v>38</v>
      </c>
      <c r="O579" t="s">
        <v>22</v>
      </c>
    </row>
    <row r="580" spans="1:15" x14ac:dyDescent="0.35">
      <c r="A580" t="s">
        <v>881</v>
      </c>
      <c r="B580" s="1">
        <v>45660</v>
      </c>
      <c r="C580" t="s">
        <v>882</v>
      </c>
      <c r="D580" t="s">
        <v>17</v>
      </c>
      <c r="E580" t="s">
        <v>18</v>
      </c>
      <c r="F580" t="s">
        <v>51</v>
      </c>
      <c r="G580" t="s">
        <v>37</v>
      </c>
      <c r="H580">
        <v>1</v>
      </c>
      <c r="I580">
        <v>248.94</v>
      </c>
      <c r="J580">
        <v>0.1</v>
      </c>
      <c r="K580">
        <v>224.05</v>
      </c>
      <c r="L580">
        <v>150</v>
      </c>
      <c r="M580">
        <v>74.05</v>
      </c>
      <c r="N580" t="s">
        <v>38</v>
      </c>
      <c r="O580" t="s">
        <v>28</v>
      </c>
    </row>
    <row r="581" spans="1:15" x14ac:dyDescent="0.35">
      <c r="A581" t="s">
        <v>883</v>
      </c>
      <c r="B581" s="1">
        <v>45707</v>
      </c>
      <c r="C581" t="s">
        <v>703</v>
      </c>
      <c r="D581" t="s">
        <v>31</v>
      </c>
      <c r="E581" t="s">
        <v>32</v>
      </c>
      <c r="F581" t="s">
        <v>78</v>
      </c>
      <c r="G581" t="s">
        <v>20</v>
      </c>
      <c r="H581">
        <v>2</v>
      </c>
      <c r="I581">
        <v>323.52999999999997</v>
      </c>
      <c r="J581">
        <v>0</v>
      </c>
      <c r="K581">
        <v>647.05999999999995</v>
      </c>
      <c r="L581">
        <v>400</v>
      </c>
      <c r="M581">
        <v>247.06</v>
      </c>
      <c r="N581" t="s">
        <v>21</v>
      </c>
      <c r="O581" t="s">
        <v>42</v>
      </c>
    </row>
    <row r="582" spans="1:15" x14ac:dyDescent="0.35">
      <c r="A582" t="s">
        <v>884</v>
      </c>
      <c r="B582" s="1">
        <v>45847</v>
      </c>
      <c r="C582" t="s">
        <v>326</v>
      </c>
      <c r="D582" t="s">
        <v>45</v>
      </c>
      <c r="E582" t="s">
        <v>46</v>
      </c>
      <c r="F582" t="s">
        <v>19</v>
      </c>
      <c r="G582" t="s">
        <v>20</v>
      </c>
      <c r="H582">
        <v>2</v>
      </c>
      <c r="I582">
        <v>275.3</v>
      </c>
      <c r="J582">
        <v>0.1</v>
      </c>
      <c r="K582">
        <v>495.54</v>
      </c>
      <c r="L582">
        <v>340</v>
      </c>
      <c r="M582">
        <v>155.54</v>
      </c>
      <c r="N582" t="s">
        <v>21</v>
      </c>
      <c r="O582" t="s">
        <v>28</v>
      </c>
    </row>
    <row r="583" spans="1:15" x14ac:dyDescent="0.35">
      <c r="A583" t="s">
        <v>885</v>
      </c>
      <c r="B583" s="1">
        <v>45736</v>
      </c>
      <c r="C583" t="s">
        <v>477</v>
      </c>
      <c r="D583" t="s">
        <v>17</v>
      </c>
      <c r="E583" t="s">
        <v>18</v>
      </c>
      <c r="F583" t="s">
        <v>78</v>
      </c>
      <c r="G583" t="s">
        <v>20</v>
      </c>
      <c r="H583">
        <v>2</v>
      </c>
      <c r="I583">
        <v>327.37</v>
      </c>
      <c r="J583">
        <v>0.05</v>
      </c>
      <c r="K583">
        <v>622</v>
      </c>
      <c r="L583">
        <v>400</v>
      </c>
      <c r="M583">
        <v>222</v>
      </c>
      <c r="N583" t="s">
        <v>33</v>
      </c>
      <c r="O583" t="s">
        <v>28</v>
      </c>
    </row>
    <row r="584" spans="1:15" x14ac:dyDescent="0.35">
      <c r="A584" t="s">
        <v>886</v>
      </c>
      <c r="B584" s="1">
        <v>45866</v>
      </c>
      <c r="C584" t="s">
        <v>278</v>
      </c>
      <c r="D584" t="s">
        <v>50</v>
      </c>
      <c r="E584" t="s">
        <v>32</v>
      </c>
      <c r="F584" t="s">
        <v>78</v>
      </c>
      <c r="G584" t="s">
        <v>20</v>
      </c>
      <c r="H584">
        <v>4</v>
      </c>
      <c r="I584">
        <v>328.52</v>
      </c>
      <c r="J584">
        <v>0.05</v>
      </c>
      <c r="K584">
        <v>1248.3800000000001</v>
      </c>
      <c r="L584">
        <v>800</v>
      </c>
      <c r="M584">
        <v>448.38</v>
      </c>
      <c r="N584" t="s">
        <v>38</v>
      </c>
      <c r="O584" t="s">
        <v>42</v>
      </c>
    </row>
    <row r="585" spans="1:15" x14ac:dyDescent="0.35">
      <c r="A585" t="s">
        <v>887</v>
      </c>
      <c r="B585" s="1">
        <v>45770</v>
      </c>
      <c r="C585" t="s">
        <v>306</v>
      </c>
      <c r="D585" t="s">
        <v>58</v>
      </c>
      <c r="E585" t="s">
        <v>18</v>
      </c>
      <c r="F585" t="s">
        <v>41</v>
      </c>
      <c r="G585" t="s">
        <v>37</v>
      </c>
      <c r="H585">
        <v>1</v>
      </c>
      <c r="I585">
        <v>910.36</v>
      </c>
      <c r="J585">
        <v>0</v>
      </c>
      <c r="K585">
        <v>910.36</v>
      </c>
      <c r="L585">
        <v>600</v>
      </c>
      <c r="M585">
        <v>310.36</v>
      </c>
      <c r="N585" t="s">
        <v>38</v>
      </c>
      <c r="O585" t="s">
        <v>28</v>
      </c>
    </row>
    <row r="586" spans="1:15" x14ac:dyDescent="0.35">
      <c r="A586" t="s">
        <v>888</v>
      </c>
      <c r="B586" s="1">
        <v>45982</v>
      </c>
      <c r="C586" t="s">
        <v>212</v>
      </c>
      <c r="D586" t="s">
        <v>50</v>
      </c>
      <c r="E586" t="s">
        <v>32</v>
      </c>
      <c r="F586" t="s">
        <v>67</v>
      </c>
      <c r="G586" t="s">
        <v>37</v>
      </c>
      <c r="H586">
        <v>1</v>
      </c>
      <c r="I586">
        <v>76.81</v>
      </c>
      <c r="J586">
        <v>0</v>
      </c>
      <c r="K586">
        <v>76.81</v>
      </c>
      <c r="L586">
        <v>40</v>
      </c>
      <c r="M586">
        <v>36.81</v>
      </c>
      <c r="N586" t="s">
        <v>33</v>
      </c>
      <c r="O586" t="s">
        <v>28</v>
      </c>
    </row>
    <row r="587" spans="1:15" x14ac:dyDescent="0.35">
      <c r="A587" t="s">
        <v>889</v>
      </c>
      <c r="B587" s="1">
        <v>46020</v>
      </c>
      <c r="C587" t="s">
        <v>655</v>
      </c>
      <c r="D587" t="s">
        <v>17</v>
      </c>
      <c r="E587" t="s">
        <v>18</v>
      </c>
      <c r="F587" t="s">
        <v>78</v>
      </c>
      <c r="G587" t="s">
        <v>20</v>
      </c>
      <c r="H587">
        <v>4</v>
      </c>
      <c r="I587">
        <v>315.83999999999997</v>
      </c>
      <c r="J587">
        <v>0.1</v>
      </c>
      <c r="K587">
        <v>1137.02</v>
      </c>
      <c r="L587">
        <v>800</v>
      </c>
      <c r="M587">
        <v>337.02</v>
      </c>
      <c r="N587" t="s">
        <v>21</v>
      </c>
      <c r="O587" t="s">
        <v>42</v>
      </c>
    </row>
    <row r="588" spans="1:15" x14ac:dyDescent="0.35">
      <c r="A588" t="s">
        <v>890</v>
      </c>
      <c r="B588" s="1">
        <v>45754</v>
      </c>
      <c r="C588" t="s">
        <v>891</v>
      </c>
      <c r="D588" t="s">
        <v>60</v>
      </c>
      <c r="E588" t="s">
        <v>61</v>
      </c>
      <c r="F588" t="s">
        <v>27</v>
      </c>
      <c r="G588" t="s">
        <v>20</v>
      </c>
      <c r="H588">
        <v>2</v>
      </c>
      <c r="I588">
        <v>182.3</v>
      </c>
      <c r="J588">
        <v>0</v>
      </c>
      <c r="K588">
        <v>364.6</v>
      </c>
      <c r="L588">
        <v>220</v>
      </c>
      <c r="M588">
        <v>144.6</v>
      </c>
      <c r="N588" t="s">
        <v>21</v>
      </c>
      <c r="O588" t="s">
        <v>42</v>
      </c>
    </row>
    <row r="589" spans="1:15" x14ac:dyDescent="0.35">
      <c r="A589" t="s">
        <v>892</v>
      </c>
      <c r="B589" s="1">
        <v>45845</v>
      </c>
      <c r="C589" t="s">
        <v>242</v>
      </c>
      <c r="D589" t="s">
        <v>31</v>
      </c>
      <c r="E589" t="s">
        <v>32</v>
      </c>
      <c r="F589" t="s">
        <v>78</v>
      </c>
      <c r="G589" t="s">
        <v>20</v>
      </c>
      <c r="H589">
        <v>1</v>
      </c>
      <c r="I589">
        <v>316.77</v>
      </c>
      <c r="J589">
        <v>0</v>
      </c>
      <c r="K589">
        <v>316.77</v>
      </c>
      <c r="L589">
        <v>200</v>
      </c>
      <c r="M589">
        <v>116.77</v>
      </c>
      <c r="N589" t="s">
        <v>21</v>
      </c>
      <c r="O589" t="s">
        <v>28</v>
      </c>
    </row>
    <row r="590" spans="1:15" x14ac:dyDescent="0.35">
      <c r="A590" t="s">
        <v>893</v>
      </c>
      <c r="B590" s="1">
        <v>45770</v>
      </c>
      <c r="C590" t="s">
        <v>870</v>
      </c>
      <c r="D590" t="s">
        <v>50</v>
      </c>
      <c r="E590" t="s">
        <v>32</v>
      </c>
      <c r="F590" t="s">
        <v>36</v>
      </c>
      <c r="G590" t="s">
        <v>37</v>
      </c>
      <c r="H590">
        <v>3</v>
      </c>
      <c r="I590">
        <v>127.44</v>
      </c>
      <c r="J590">
        <v>0.05</v>
      </c>
      <c r="K590">
        <v>363.2</v>
      </c>
      <c r="L590">
        <v>180</v>
      </c>
      <c r="M590">
        <v>183.2</v>
      </c>
      <c r="N590" t="s">
        <v>38</v>
      </c>
      <c r="O590" t="s">
        <v>28</v>
      </c>
    </row>
    <row r="591" spans="1:15" x14ac:dyDescent="0.35">
      <c r="A591" t="s">
        <v>894</v>
      </c>
      <c r="B591" s="1">
        <v>45980</v>
      </c>
      <c r="C591" t="s">
        <v>103</v>
      </c>
      <c r="D591" t="s">
        <v>45</v>
      </c>
      <c r="E591" t="s">
        <v>46</v>
      </c>
      <c r="F591" t="s">
        <v>27</v>
      </c>
      <c r="G591" t="s">
        <v>20</v>
      </c>
      <c r="H591">
        <v>2</v>
      </c>
      <c r="I591">
        <v>187.4</v>
      </c>
      <c r="J591">
        <v>0.05</v>
      </c>
      <c r="K591">
        <v>356.06</v>
      </c>
      <c r="L591">
        <v>220</v>
      </c>
      <c r="M591">
        <v>136.06</v>
      </c>
      <c r="N591" t="s">
        <v>33</v>
      </c>
      <c r="O591" t="s">
        <v>22</v>
      </c>
    </row>
    <row r="592" spans="1:15" x14ac:dyDescent="0.35">
      <c r="A592" t="s">
        <v>895</v>
      </c>
      <c r="B592" s="1">
        <v>46020</v>
      </c>
      <c r="C592" t="s">
        <v>88</v>
      </c>
      <c r="D592" t="s">
        <v>50</v>
      </c>
      <c r="E592" t="s">
        <v>32</v>
      </c>
      <c r="F592" t="s">
        <v>19</v>
      </c>
      <c r="G592" t="s">
        <v>20</v>
      </c>
      <c r="H592">
        <v>2</v>
      </c>
      <c r="I592">
        <v>272.89999999999998</v>
      </c>
      <c r="J592">
        <v>0.1</v>
      </c>
      <c r="K592">
        <v>491.22</v>
      </c>
      <c r="L592">
        <v>340</v>
      </c>
      <c r="M592">
        <v>151.22</v>
      </c>
      <c r="N592" t="s">
        <v>21</v>
      </c>
      <c r="O592" t="s">
        <v>28</v>
      </c>
    </row>
    <row r="593" spans="1:15" x14ac:dyDescent="0.35">
      <c r="A593" t="s">
        <v>896</v>
      </c>
      <c r="B593" s="1">
        <v>45677</v>
      </c>
      <c r="C593" t="s">
        <v>172</v>
      </c>
      <c r="D593" t="s">
        <v>25</v>
      </c>
      <c r="E593" t="s">
        <v>26</v>
      </c>
      <c r="F593" t="s">
        <v>36</v>
      </c>
      <c r="G593" t="s">
        <v>37</v>
      </c>
      <c r="H593">
        <v>1</v>
      </c>
      <c r="I593">
        <v>117.76</v>
      </c>
      <c r="J593">
        <v>0</v>
      </c>
      <c r="K593">
        <v>117.76</v>
      </c>
      <c r="L593">
        <v>60</v>
      </c>
      <c r="M593">
        <v>57.76</v>
      </c>
      <c r="N593" t="s">
        <v>21</v>
      </c>
      <c r="O593" t="s">
        <v>42</v>
      </c>
    </row>
    <row r="594" spans="1:15" x14ac:dyDescent="0.35">
      <c r="A594" t="s">
        <v>897</v>
      </c>
      <c r="B594" s="1">
        <v>45973</v>
      </c>
      <c r="C594" t="s">
        <v>632</v>
      </c>
      <c r="D594" t="s">
        <v>58</v>
      </c>
      <c r="E594" t="s">
        <v>18</v>
      </c>
      <c r="F594" t="s">
        <v>78</v>
      </c>
      <c r="G594" t="s">
        <v>20</v>
      </c>
      <c r="H594">
        <v>2</v>
      </c>
      <c r="I594">
        <v>347</v>
      </c>
      <c r="J594">
        <v>0.1</v>
      </c>
      <c r="K594">
        <v>624.6</v>
      </c>
      <c r="L594">
        <v>400</v>
      </c>
      <c r="M594">
        <v>224.6</v>
      </c>
      <c r="N594" t="s">
        <v>47</v>
      </c>
      <c r="O594" t="s">
        <v>22</v>
      </c>
    </row>
    <row r="595" spans="1:15" x14ac:dyDescent="0.35">
      <c r="A595" t="s">
        <v>898</v>
      </c>
      <c r="B595" s="1">
        <v>45815</v>
      </c>
      <c r="C595" t="s">
        <v>899</v>
      </c>
      <c r="D595" t="s">
        <v>25</v>
      </c>
      <c r="E595" t="s">
        <v>26</v>
      </c>
      <c r="F595" t="s">
        <v>108</v>
      </c>
      <c r="G595" t="s">
        <v>37</v>
      </c>
      <c r="H595">
        <v>2</v>
      </c>
      <c r="I595">
        <v>416.49</v>
      </c>
      <c r="J595">
        <v>0</v>
      </c>
      <c r="K595">
        <v>832.98</v>
      </c>
      <c r="L595">
        <v>560</v>
      </c>
      <c r="M595">
        <v>272.98</v>
      </c>
      <c r="N595" t="s">
        <v>33</v>
      </c>
      <c r="O595" t="s">
        <v>42</v>
      </c>
    </row>
    <row r="596" spans="1:15" x14ac:dyDescent="0.35">
      <c r="A596" t="s">
        <v>900</v>
      </c>
      <c r="B596" s="1">
        <v>45714</v>
      </c>
      <c r="C596" t="s">
        <v>291</v>
      </c>
      <c r="D596" t="s">
        <v>17</v>
      </c>
      <c r="E596" t="s">
        <v>18</v>
      </c>
      <c r="F596" t="s">
        <v>108</v>
      </c>
      <c r="G596" t="s">
        <v>37</v>
      </c>
      <c r="H596">
        <v>5</v>
      </c>
      <c r="I596">
        <v>443.84</v>
      </c>
      <c r="J596">
        <v>0</v>
      </c>
      <c r="K596">
        <v>2219.1999999999998</v>
      </c>
      <c r="L596">
        <v>1400</v>
      </c>
      <c r="M596">
        <v>819.2</v>
      </c>
      <c r="N596" t="s">
        <v>21</v>
      </c>
      <c r="O596" t="s">
        <v>28</v>
      </c>
    </row>
    <row r="597" spans="1:15" x14ac:dyDescent="0.35">
      <c r="A597" t="s">
        <v>901</v>
      </c>
      <c r="B597" s="1">
        <v>45934</v>
      </c>
      <c r="C597" t="s">
        <v>848</v>
      </c>
      <c r="D597" t="s">
        <v>50</v>
      </c>
      <c r="E597" t="s">
        <v>32</v>
      </c>
      <c r="F597" t="s">
        <v>27</v>
      </c>
      <c r="G597" t="s">
        <v>20</v>
      </c>
      <c r="H597">
        <v>1</v>
      </c>
      <c r="I597">
        <v>180.83</v>
      </c>
      <c r="J597">
        <v>0.1</v>
      </c>
      <c r="K597">
        <v>162.75</v>
      </c>
      <c r="L597">
        <v>110</v>
      </c>
      <c r="M597">
        <v>52.75</v>
      </c>
      <c r="N597" t="s">
        <v>38</v>
      </c>
      <c r="O597" t="s">
        <v>22</v>
      </c>
    </row>
    <row r="598" spans="1:15" x14ac:dyDescent="0.35">
      <c r="A598" t="s">
        <v>902</v>
      </c>
      <c r="B598" s="1">
        <v>45828</v>
      </c>
      <c r="C598" t="s">
        <v>131</v>
      </c>
      <c r="D598" t="s">
        <v>60</v>
      </c>
      <c r="E598" t="s">
        <v>61</v>
      </c>
      <c r="F598" t="s">
        <v>41</v>
      </c>
      <c r="G598" t="s">
        <v>37</v>
      </c>
      <c r="H598">
        <v>4</v>
      </c>
      <c r="I598">
        <v>874.45</v>
      </c>
      <c r="J598">
        <v>0.2</v>
      </c>
      <c r="K598">
        <v>2798.24</v>
      </c>
      <c r="L598">
        <v>2400</v>
      </c>
      <c r="M598">
        <v>398.24</v>
      </c>
      <c r="N598" t="s">
        <v>33</v>
      </c>
      <c r="O598" t="s">
        <v>22</v>
      </c>
    </row>
    <row r="599" spans="1:15" x14ac:dyDescent="0.35">
      <c r="A599" t="s">
        <v>903</v>
      </c>
      <c r="B599" s="1">
        <v>45863</v>
      </c>
      <c r="C599" t="s">
        <v>904</v>
      </c>
      <c r="D599" t="s">
        <v>31</v>
      </c>
      <c r="E599" t="s">
        <v>32</v>
      </c>
      <c r="F599" t="s">
        <v>27</v>
      </c>
      <c r="G599" t="s">
        <v>20</v>
      </c>
      <c r="H599">
        <v>1</v>
      </c>
      <c r="I599">
        <v>184.64</v>
      </c>
      <c r="J599">
        <v>0.05</v>
      </c>
      <c r="K599">
        <v>175.41</v>
      </c>
      <c r="L599">
        <v>110</v>
      </c>
      <c r="M599">
        <v>65.41</v>
      </c>
      <c r="N599" t="s">
        <v>38</v>
      </c>
      <c r="O599" t="s">
        <v>42</v>
      </c>
    </row>
    <row r="600" spans="1:15" x14ac:dyDescent="0.35">
      <c r="A600" t="s">
        <v>905</v>
      </c>
      <c r="B600" s="1">
        <v>46018</v>
      </c>
      <c r="C600" t="s">
        <v>367</v>
      </c>
      <c r="D600" t="s">
        <v>17</v>
      </c>
      <c r="E600" t="s">
        <v>18</v>
      </c>
      <c r="F600" t="s">
        <v>41</v>
      </c>
      <c r="G600" t="s">
        <v>37</v>
      </c>
      <c r="H600">
        <v>1</v>
      </c>
      <c r="I600">
        <v>817.16</v>
      </c>
      <c r="J600">
        <v>0.05</v>
      </c>
      <c r="K600">
        <v>776.3</v>
      </c>
      <c r="L600">
        <v>600</v>
      </c>
      <c r="M600">
        <v>176.3</v>
      </c>
      <c r="N600" t="s">
        <v>47</v>
      </c>
      <c r="O600" t="s">
        <v>28</v>
      </c>
    </row>
    <row r="601" spans="1:15" x14ac:dyDescent="0.35">
      <c r="A601" t="s">
        <v>906</v>
      </c>
      <c r="B601" s="1">
        <v>45992</v>
      </c>
      <c r="C601" t="s">
        <v>310</v>
      </c>
      <c r="D601" t="s">
        <v>17</v>
      </c>
      <c r="E601" t="s">
        <v>18</v>
      </c>
      <c r="F601" t="s">
        <v>36</v>
      </c>
      <c r="G601" t="s">
        <v>37</v>
      </c>
      <c r="H601">
        <v>2</v>
      </c>
      <c r="I601">
        <v>116.79</v>
      </c>
      <c r="J601">
        <v>0</v>
      </c>
      <c r="K601">
        <v>233.58</v>
      </c>
      <c r="L601">
        <v>120</v>
      </c>
      <c r="M601">
        <v>113.58</v>
      </c>
      <c r="N601" t="s">
        <v>47</v>
      </c>
      <c r="O601" t="s">
        <v>22</v>
      </c>
    </row>
    <row r="602" spans="1:15" x14ac:dyDescent="0.35">
      <c r="A602" t="s">
        <v>907</v>
      </c>
      <c r="B602" s="1">
        <v>45993</v>
      </c>
      <c r="C602" t="s">
        <v>554</v>
      </c>
      <c r="D602" t="s">
        <v>45</v>
      </c>
      <c r="E602" t="s">
        <v>46</v>
      </c>
      <c r="F602" t="s">
        <v>78</v>
      </c>
      <c r="G602" t="s">
        <v>20</v>
      </c>
      <c r="H602">
        <v>2</v>
      </c>
      <c r="I602">
        <v>323.22000000000003</v>
      </c>
      <c r="J602">
        <v>0.1</v>
      </c>
      <c r="K602">
        <v>581.79999999999995</v>
      </c>
      <c r="L602">
        <v>400</v>
      </c>
      <c r="M602">
        <v>181.8</v>
      </c>
      <c r="N602" t="s">
        <v>21</v>
      </c>
      <c r="O602" t="s">
        <v>28</v>
      </c>
    </row>
    <row r="603" spans="1:15" x14ac:dyDescent="0.35">
      <c r="A603" t="s">
        <v>908</v>
      </c>
      <c r="B603" s="1">
        <v>45826</v>
      </c>
      <c r="C603" t="s">
        <v>381</v>
      </c>
      <c r="D603" t="s">
        <v>60</v>
      </c>
      <c r="E603" t="s">
        <v>61</v>
      </c>
      <c r="F603" t="s">
        <v>51</v>
      </c>
      <c r="G603" t="s">
        <v>37</v>
      </c>
      <c r="H603">
        <v>3</v>
      </c>
      <c r="I603">
        <v>249.73</v>
      </c>
      <c r="J603">
        <v>0.1</v>
      </c>
      <c r="K603">
        <v>674.27</v>
      </c>
      <c r="L603">
        <v>450</v>
      </c>
      <c r="M603">
        <v>224.27</v>
      </c>
      <c r="N603" t="s">
        <v>38</v>
      </c>
      <c r="O603" t="s">
        <v>42</v>
      </c>
    </row>
    <row r="604" spans="1:15" x14ac:dyDescent="0.35">
      <c r="A604" t="s">
        <v>909</v>
      </c>
      <c r="B604" s="1">
        <v>45837</v>
      </c>
      <c r="C604" t="s">
        <v>541</v>
      </c>
      <c r="D604" t="s">
        <v>25</v>
      </c>
      <c r="E604" t="s">
        <v>26</v>
      </c>
      <c r="F604" t="s">
        <v>78</v>
      </c>
      <c r="G604" t="s">
        <v>20</v>
      </c>
      <c r="H604">
        <v>2</v>
      </c>
      <c r="I604">
        <v>333.95</v>
      </c>
      <c r="J604">
        <v>0</v>
      </c>
      <c r="K604">
        <v>667.9</v>
      </c>
      <c r="L604">
        <v>400</v>
      </c>
      <c r="M604">
        <v>267.89999999999998</v>
      </c>
      <c r="N604" t="s">
        <v>47</v>
      </c>
      <c r="O604" t="s">
        <v>28</v>
      </c>
    </row>
    <row r="605" spans="1:15" x14ac:dyDescent="0.35">
      <c r="A605" t="s">
        <v>910</v>
      </c>
      <c r="B605" s="1">
        <v>45731</v>
      </c>
      <c r="C605" t="s">
        <v>143</v>
      </c>
      <c r="D605" t="s">
        <v>58</v>
      </c>
      <c r="E605" t="s">
        <v>18</v>
      </c>
      <c r="F605" t="s">
        <v>51</v>
      </c>
      <c r="G605" t="s">
        <v>37</v>
      </c>
      <c r="H605">
        <v>3</v>
      </c>
      <c r="I605">
        <v>257.11</v>
      </c>
      <c r="J605">
        <v>0.05</v>
      </c>
      <c r="K605">
        <v>732.76</v>
      </c>
      <c r="L605">
        <v>450</v>
      </c>
      <c r="M605">
        <v>282.76</v>
      </c>
      <c r="N605" t="s">
        <v>47</v>
      </c>
      <c r="O605" t="s">
        <v>42</v>
      </c>
    </row>
    <row r="606" spans="1:15" x14ac:dyDescent="0.35">
      <c r="A606" t="s">
        <v>911</v>
      </c>
      <c r="B606" s="1">
        <v>45941</v>
      </c>
      <c r="C606" t="s">
        <v>369</v>
      </c>
      <c r="D606" t="s">
        <v>60</v>
      </c>
      <c r="E606" t="s">
        <v>61</v>
      </c>
      <c r="F606" t="s">
        <v>27</v>
      </c>
      <c r="G606" t="s">
        <v>20</v>
      </c>
      <c r="H606">
        <v>2</v>
      </c>
      <c r="I606">
        <v>184.95</v>
      </c>
      <c r="J606">
        <v>0.1</v>
      </c>
      <c r="K606">
        <v>332.91</v>
      </c>
      <c r="L606">
        <v>220</v>
      </c>
      <c r="M606">
        <v>112.91</v>
      </c>
      <c r="N606" t="s">
        <v>33</v>
      </c>
      <c r="O606" t="s">
        <v>28</v>
      </c>
    </row>
    <row r="607" spans="1:15" x14ac:dyDescent="0.35">
      <c r="A607" t="s">
        <v>912</v>
      </c>
      <c r="B607" s="1">
        <v>45872</v>
      </c>
      <c r="C607" t="s">
        <v>913</v>
      </c>
      <c r="D607" t="s">
        <v>17</v>
      </c>
      <c r="E607" t="s">
        <v>18</v>
      </c>
      <c r="F607" t="s">
        <v>78</v>
      </c>
      <c r="G607" t="s">
        <v>20</v>
      </c>
      <c r="H607">
        <v>1</v>
      </c>
      <c r="I607">
        <v>344.82</v>
      </c>
      <c r="J607">
        <v>0.05</v>
      </c>
      <c r="K607">
        <v>327.58</v>
      </c>
      <c r="L607">
        <v>200</v>
      </c>
      <c r="M607">
        <v>127.58</v>
      </c>
      <c r="N607" t="s">
        <v>21</v>
      </c>
      <c r="O607" t="s">
        <v>28</v>
      </c>
    </row>
    <row r="608" spans="1:15" x14ac:dyDescent="0.35">
      <c r="A608" t="s">
        <v>914</v>
      </c>
      <c r="B608" s="1">
        <v>46001</v>
      </c>
      <c r="C608" t="s">
        <v>484</v>
      </c>
      <c r="D608" t="s">
        <v>25</v>
      </c>
      <c r="E608" t="s">
        <v>26</v>
      </c>
      <c r="F608" t="s">
        <v>78</v>
      </c>
      <c r="G608" t="s">
        <v>20</v>
      </c>
      <c r="H608">
        <v>2</v>
      </c>
      <c r="I608">
        <v>347.23</v>
      </c>
      <c r="J608">
        <v>0</v>
      </c>
      <c r="K608">
        <v>694.46</v>
      </c>
      <c r="L608">
        <v>400</v>
      </c>
      <c r="M608">
        <v>294.45999999999998</v>
      </c>
      <c r="N608" t="s">
        <v>21</v>
      </c>
      <c r="O608" t="s">
        <v>22</v>
      </c>
    </row>
    <row r="609" spans="1:15" x14ac:dyDescent="0.35">
      <c r="A609" t="s">
        <v>915</v>
      </c>
      <c r="B609" s="1">
        <v>45981</v>
      </c>
      <c r="C609" t="s">
        <v>444</v>
      </c>
      <c r="D609" t="s">
        <v>60</v>
      </c>
      <c r="E609" t="s">
        <v>61</v>
      </c>
      <c r="F609" t="s">
        <v>41</v>
      </c>
      <c r="G609" t="s">
        <v>37</v>
      </c>
      <c r="H609">
        <v>1</v>
      </c>
      <c r="I609">
        <v>830.24</v>
      </c>
      <c r="J609">
        <v>0.15</v>
      </c>
      <c r="K609">
        <v>705.7</v>
      </c>
      <c r="L609">
        <v>600</v>
      </c>
      <c r="M609">
        <v>105.7</v>
      </c>
      <c r="N609" t="s">
        <v>47</v>
      </c>
      <c r="O609" t="s">
        <v>22</v>
      </c>
    </row>
    <row r="610" spans="1:15" x14ac:dyDescent="0.35">
      <c r="A610" t="s">
        <v>916</v>
      </c>
      <c r="B610" s="1">
        <v>45809</v>
      </c>
      <c r="C610" t="s">
        <v>259</v>
      </c>
      <c r="D610" t="s">
        <v>66</v>
      </c>
      <c r="E610" t="s">
        <v>61</v>
      </c>
      <c r="F610" t="s">
        <v>19</v>
      </c>
      <c r="G610" t="s">
        <v>20</v>
      </c>
      <c r="H610">
        <v>4</v>
      </c>
      <c r="I610">
        <v>272.02999999999997</v>
      </c>
      <c r="J610">
        <v>0.1</v>
      </c>
      <c r="K610">
        <v>979.31</v>
      </c>
      <c r="L610">
        <v>680</v>
      </c>
      <c r="M610">
        <v>299.31</v>
      </c>
      <c r="N610" t="s">
        <v>21</v>
      </c>
      <c r="O610" t="s">
        <v>22</v>
      </c>
    </row>
    <row r="611" spans="1:15" x14ac:dyDescent="0.35">
      <c r="A611" t="s">
        <v>917</v>
      </c>
      <c r="B611" s="1">
        <v>45814</v>
      </c>
      <c r="C611" t="s">
        <v>156</v>
      </c>
      <c r="D611" t="s">
        <v>45</v>
      </c>
      <c r="E611" t="s">
        <v>46</v>
      </c>
      <c r="F611" t="s">
        <v>67</v>
      </c>
      <c r="G611" t="s">
        <v>37</v>
      </c>
      <c r="H611">
        <v>6</v>
      </c>
      <c r="I611">
        <v>77.069999999999993</v>
      </c>
      <c r="J611">
        <v>0.1</v>
      </c>
      <c r="K611">
        <v>416.18</v>
      </c>
      <c r="L611">
        <v>240</v>
      </c>
      <c r="M611">
        <v>176.18</v>
      </c>
      <c r="N611" t="s">
        <v>21</v>
      </c>
      <c r="O611" t="s">
        <v>28</v>
      </c>
    </row>
    <row r="612" spans="1:15" x14ac:dyDescent="0.35">
      <c r="A612" t="s">
        <v>918</v>
      </c>
      <c r="B612" s="1">
        <v>45928</v>
      </c>
      <c r="C612" t="s">
        <v>466</v>
      </c>
      <c r="D612" t="s">
        <v>17</v>
      </c>
      <c r="E612" t="s">
        <v>18</v>
      </c>
      <c r="F612" t="s">
        <v>19</v>
      </c>
      <c r="G612" t="s">
        <v>20</v>
      </c>
      <c r="H612">
        <v>4</v>
      </c>
      <c r="I612">
        <v>278.67</v>
      </c>
      <c r="J612">
        <v>0</v>
      </c>
      <c r="K612">
        <v>1114.68</v>
      </c>
      <c r="L612">
        <v>680</v>
      </c>
      <c r="M612">
        <v>434.68</v>
      </c>
      <c r="N612" t="s">
        <v>47</v>
      </c>
      <c r="O612" t="s">
        <v>22</v>
      </c>
    </row>
    <row r="613" spans="1:15" x14ac:dyDescent="0.35">
      <c r="A613" t="s">
        <v>919</v>
      </c>
      <c r="B613" s="1">
        <v>45788</v>
      </c>
      <c r="C613" t="s">
        <v>920</v>
      </c>
      <c r="D613" t="s">
        <v>66</v>
      </c>
      <c r="E613" t="s">
        <v>61</v>
      </c>
      <c r="F613" t="s">
        <v>41</v>
      </c>
      <c r="G613" t="s">
        <v>37</v>
      </c>
      <c r="H613">
        <v>5</v>
      </c>
      <c r="I613">
        <v>891.72</v>
      </c>
      <c r="J613">
        <v>0.05</v>
      </c>
      <c r="K613">
        <v>4235.67</v>
      </c>
      <c r="L613">
        <v>3000</v>
      </c>
      <c r="M613">
        <v>1235.67</v>
      </c>
      <c r="N613" t="s">
        <v>21</v>
      </c>
      <c r="O613" t="s">
        <v>28</v>
      </c>
    </row>
    <row r="614" spans="1:15" x14ac:dyDescent="0.35">
      <c r="A614" t="s">
        <v>921</v>
      </c>
      <c r="B614" s="1">
        <v>45712</v>
      </c>
      <c r="C614" t="s">
        <v>97</v>
      </c>
      <c r="D614" t="s">
        <v>66</v>
      </c>
      <c r="E614" t="s">
        <v>61</v>
      </c>
      <c r="F614" t="s">
        <v>36</v>
      </c>
      <c r="G614" t="s">
        <v>37</v>
      </c>
      <c r="H614">
        <v>6</v>
      </c>
      <c r="I614">
        <v>123.38</v>
      </c>
      <c r="J614">
        <v>0.1</v>
      </c>
      <c r="K614">
        <v>666.25</v>
      </c>
      <c r="L614">
        <v>360</v>
      </c>
      <c r="M614">
        <v>306.25</v>
      </c>
      <c r="N614" t="s">
        <v>47</v>
      </c>
      <c r="O614" t="s">
        <v>28</v>
      </c>
    </row>
    <row r="615" spans="1:15" x14ac:dyDescent="0.35">
      <c r="A615" t="s">
        <v>922</v>
      </c>
      <c r="B615" s="1">
        <v>45967</v>
      </c>
      <c r="C615" t="s">
        <v>299</v>
      </c>
      <c r="D615" t="s">
        <v>31</v>
      </c>
      <c r="E615" t="s">
        <v>32</v>
      </c>
      <c r="F615" t="s">
        <v>41</v>
      </c>
      <c r="G615" t="s">
        <v>37</v>
      </c>
      <c r="H615">
        <v>1</v>
      </c>
      <c r="I615">
        <v>881.95</v>
      </c>
      <c r="J615">
        <v>0</v>
      </c>
      <c r="K615">
        <v>881.95</v>
      </c>
      <c r="L615">
        <v>600</v>
      </c>
      <c r="M615">
        <v>281.95</v>
      </c>
      <c r="N615" t="s">
        <v>47</v>
      </c>
      <c r="O615" t="s">
        <v>42</v>
      </c>
    </row>
    <row r="616" spans="1:15" x14ac:dyDescent="0.35">
      <c r="A616" t="s">
        <v>923</v>
      </c>
      <c r="B616" s="1">
        <v>45805</v>
      </c>
      <c r="C616" t="s">
        <v>438</v>
      </c>
      <c r="D616" t="s">
        <v>25</v>
      </c>
      <c r="E616" t="s">
        <v>26</v>
      </c>
      <c r="F616" t="s">
        <v>51</v>
      </c>
      <c r="G616" t="s">
        <v>37</v>
      </c>
      <c r="H616">
        <v>3</v>
      </c>
      <c r="I616">
        <v>234.37</v>
      </c>
      <c r="J616">
        <v>0.05</v>
      </c>
      <c r="K616">
        <v>667.95</v>
      </c>
      <c r="L616">
        <v>450</v>
      </c>
      <c r="M616">
        <v>217.95</v>
      </c>
      <c r="N616" t="s">
        <v>38</v>
      </c>
      <c r="O616" t="s">
        <v>28</v>
      </c>
    </row>
    <row r="617" spans="1:15" x14ac:dyDescent="0.35">
      <c r="A617" t="s">
        <v>924</v>
      </c>
      <c r="B617" s="1">
        <v>45720</v>
      </c>
      <c r="C617" t="s">
        <v>346</v>
      </c>
      <c r="D617" t="s">
        <v>58</v>
      </c>
      <c r="E617" t="s">
        <v>18</v>
      </c>
      <c r="F617" t="s">
        <v>67</v>
      </c>
      <c r="G617" t="s">
        <v>37</v>
      </c>
      <c r="H617">
        <v>2</v>
      </c>
      <c r="I617">
        <v>77.23</v>
      </c>
      <c r="J617">
        <v>0</v>
      </c>
      <c r="K617">
        <v>154.46</v>
      </c>
      <c r="L617">
        <v>80</v>
      </c>
      <c r="M617">
        <v>74.459999999999994</v>
      </c>
      <c r="N617" t="s">
        <v>21</v>
      </c>
      <c r="O617" t="s">
        <v>22</v>
      </c>
    </row>
    <row r="618" spans="1:15" x14ac:dyDescent="0.35">
      <c r="A618" t="s">
        <v>925</v>
      </c>
      <c r="B618" s="1">
        <v>45926</v>
      </c>
      <c r="C618" t="s">
        <v>95</v>
      </c>
      <c r="D618" t="s">
        <v>31</v>
      </c>
      <c r="E618" t="s">
        <v>32</v>
      </c>
      <c r="F618" t="s">
        <v>27</v>
      </c>
      <c r="G618" t="s">
        <v>20</v>
      </c>
      <c r="H618">
        <v>3</v>
      </c>
      <c r="I618">
        <v>193.12</v>
      </c>
      <c r="J618">
        <v>0.05</v>
      </c>
      <c r="K618">
        <v>550.39</v>
      </c>
      <c r="L618">
        <v>330</v>
      </c>
      <c r="M618">
        <v>220.39</v>
      </c>
      <c r="N618" t="s">
        <v>21</v>
      </c>
      <c r="O618" t="s">
        <v>28</v>
      </c>
    </row>
    <row r="619" spans="1:15" x14ac:dyDescent="0.35">
      <c r="A619" t="s">
        <v>926</v>
      </c>
      <c r="B619" s="1">
        <v>45744</v>
      </c>
      <c r="C619" t="s">
        <v>449</v>
      </c>
      <c r="D619" t="s">
        <v>45</v>
      </c>
      <c r="E619" t="s">
        <v>46</v>
      </c>
      <c r="F619" t="s">
        <v>19</v>
      </c>
      <c r="G619" t="s">
        <v>20</v>
      </c>
      <c r="H619">
        <v>3</v>
      </c>
      <c r="I619">
        <v>280.94</v>
      </c>
      <c r="J619">
        <v>0.1</v>
      </c>
      <c r="K619">
        <v>758.54</v>
      </c>
      <c r="L619">
        <v>510</v>
      </c>
      <c r="M619">
        <v>248.54</v>
      </c>
      <c r="N619" t="s">
        <v>38</v>
      </c>
      <c r="O619" t="s">
        <v>42</v>
      </c>
    </row>
    <row r="620" spans="1:15" x14ac:dyDescent="0.35">
      <c r="A620" t="s">
        <v>927</v>
      </c>
      <c r="B620" s="1">
        <v>45925</v>
      </c>
      <c r="C620" t="s">
        <v>687</v>
      </c>
      <c r="D620" t="s">
        <v>25</v>
      </c>
      <c r="E620" t="s">
        <v>26</v>
      </c>
      <c r="F620" t="s">
        <v>108</v>
      </c>
      <c r="G620" t="s">
        <v>37</v>
      </c>
      <c r="H620">
        <v>4</v>
      </c>
      <c r="I620">
        <v>415.89</v>
      </c>
      <c r="J620">
        <v>0</v>
      </c>
      <c r="K620">
        <v>1663.56</v>
      </c>
      <c r="L620">
        <v>1120</v>
      </c>
      <c r="M620">
        <v>543.55999999999995</v>
      </c>
      <c r="N620" t="s">
        <v>47</v>
      </c>
      <c r="O620" t="s">
        <v>28</v>
      </c>
    </row>
    <row r="621" spans="1:15" x14ac:dyDescent="0.35">
      <c r="A621" t="s">
        <v>928</v>
      </c>
      <c r="B621" s="1">
        <v>46013</v>
      </c>
      <c r="C621" t="s">
        <v>233</v>
      </c>
      <c r="D621" t="s">
        <v>31</v>
      </c>
      <c r="E621" t="s">
        <v>32</v>
      </c>
      <c r="F621" t="s">
        <v>108</v>
      </c>
      <c r="G621" t="s">
        <v>37</v>
      </c>
      <c r="H621">
        <v>2</v>
      </c>
      <c r="I621">
        <v>431.61</v>
      </c>
      <c r="J621">
        <v>0.1</v>
      </c>
      <c r="K621">
        <v>776.9</v>
      </c>
      <c r="L621">
        <v>560</v>
      </c>
      <c r="M621">
        <v>216.9</v>
      </c>
      <c r="N621" t="s">
        <v>47</v>
      </c>
      <c r="O621" t="s">
        <v>22</v>
      </c>
    </row>
    <row r="622" spans="1:15" x14ac:dyDescent="0.35">
      <c r="A622" t="s">
        <v>929</v>
      </c>
      <c r="B622" s="1">
        <v>45919</v>
      </c>
      <c r="C622" t="s">
        <v>913</v>
      </c>
      <c r="D622" t="s">
        <v>17</v>
      </c>
      <c r="E622" t="s">
        <v>18</v>
      </c>
      <c r="F622" t="s">
        <v>36</v>
      </c>
      <c r="G622" t="s">
        <v>37</v>
      </c>
      <c r="H622">
        <v>4</v>
      </c>
      <c r="I622">
        <v>119.56</v>
      </c>
      <c r="J622">
        <v>0</v>
      </c>
      <c r="K622">
        <v>478.24</v>
      </c>
      <c r="L622">
        <v>240</v>
      </c>
      <c r="M622">
        <v>238.24</v>
      </c>
      <c r="N622" t="s">
        <v>21</v>
      </c>
      <c r="O622" t="s">
        <v>22</v>
      </c>
    </row>
    <row r="623" spans="1:15" x14ac:dyDescent="0.35">
      <c r="A623" t="s">
        <v>930</v>
      </c>
      <c r="B623" s="1">
        <v>45726</v>
      </c>
      <c r="C623" t="s">
        <v>660</v>
      </c>
      <c r="D623" t="s">
        <v>45</v>
      </c>
      <c r="E623" t="s">
        <v>46</v>
      </c>
      <c r="F623" t="s">
        <v>19</v>
      </c>
      <c r="G623" t="s">
        <v>20</v>
      </c>
      <c r="H623">
        <v>2</v>
      </c>
      <c r="I623">
        <v>268.27</v>
      </c>
      <c r="J623">
        <v>0.05</v>
      </c>
      <c r="K623">
        <v>509.71</v>
      </c>
      <c r="L623">
        <v>340</v>
      </c>
      <c r="M623">
        <v>169.71</v>
      </c>
      <c r="N623" t="s">
        <v>21</v>
      </c>
      <c r="O623" t="s">
        <v>28</v>
      </c>
    </row>
    <row r="624" spans="1:15" x14ac:dyDescent="0.35">
      <c r="A624" t="s">
        <v>931</v>
      </c>
      <c r="B624" s="1">
        <v>45924</v>
      </c>
      <c r="C624" t="s">
        <v>351</v>
      </c>
      <c r="D624" t="s">
        <v>31</v>
      </c>
      <c r="E624" t="s">
        <v>32</v>
      </c>
      <c r="F624" t="s">
        <v>27</v>
      </c>
      <c r="G624" t="s">
        <v>20</v>
      </c>
      <c r="H624">
        <v>5</v>
      </c>
      <c r="I624">
        <v>188.06</v>
      </c>
      <c r="J624">
        <v>0.1</v>
      </c>
      <c r="K624">
        <v>846.27</v>
      </c>
      <c r="L624">
        <v>550</v>
      </c>
      <c r="M624">
        <v>296.27</v>
      </c>
      <c r="N624" t="s">
        <v>33</v>
      </c>
      <c r="O624" t="s">
        <v>28</v>
      </c>
    </row>
    <row r="625" spans="1:15" x14ac:dyDescent="0.35">
      <c r="A625" t="s">
        <v>932</v>
      </c>
      <c r="B625" s="1">
        <v>45895</v>
      </c>
      <c r="C625" t="s">
        <v>456</v>
      </c>
      <c r="D625" t="s">
        <v>66</v>
      </c>
      <c r="E625" t="s">
        <v>61</v>
      </c>
      <c r="F625" t="s">
        <v>41</v>
      </c>
      <c r="G625" t="s">
        <v>37</v>
      </c>
      <c r="H625">
        <v>4</v>
      </c>
      <c r="I625">
        <v>895</v>
      </c>
      <c r="J625">
        <v>0</v>
      </c>
      <c r="K625">
        <v>3580</v>
      </c>
      <c r="L625">
        <v>2400</v>
      </c>
      <c r="M625">
        <v>1180</v>
      </c>
      <c r="N625" t="s">
        <v>47</v>
      </c>
      <c r="O625" t="s">
        <v>42</v>
      </c>
    </row>
    <row r="626" spans="1:15" x14ac:dyDescent="0.35">
      <c r="A626" t="s">
        <v>933</v>
      </c>
      <c r="B626" s="1">
        <v>46011</v>
      </c>
      <c r="C626" t="s">
        <v>264</v>
      </c>
      <c r="D626" t="s">
        <v>66</v>
      </c>
      <c r="E626" t="s">
        <v>61</v>
      </c>
      <c r="F626" t="s">
        <v>19</v>
      </c>
      <c r="G626" t="s">
        <v>20</v>
      </c>
      <c r="H626">
        <v>3</v>
      </c>
      <c r="I626">
        <v>287.26</v>
      </c>
      <c r="J626">
        <v>0.15</v>
      </c>
      <c r="K626">
        <v>732.51</v>
      </c>
      <c r="L626">
        <v>510</v>
      </c>
      <c r="M626">
        <v>222.51</v>
      </c>
      <c r="N626" t="s">
        <v>38</v>
      </c>
      <c r="O626" t="s">
        <v>42</v>
      </c>
    </row>
    <row r="627" spans="1:15" x14ac:dyDescent="0.35">
      <c r="A627" t="s">
        <v>934</v>
      </c>
      <c r="B627" s="1">
        <v>45782</v>
      </c>
      <c r="C627" t="s">
        <v>147</v>
      </c>
      <c r="D627" t="s">
        <v>58</v>
      </c>
      <c r="E627" t="s">
        <v>18</v>
      </c>
      <c r="F627" t="s">
        <v>36</v>
      </c>
      <c r="G627" t="s">
        <v>37</v>
      </c>
      <c r="H627">
        <v>3</v>
      </c>
      <c r="I627">
        <v>121.64</v>
      </c>
      <c r="J627">
        <v>0.05</v>
      </c>
      <c r="K627">
        <v>346.67</v>
      </c>
      <c r="L627">
        <v>180</v>
      </c>
      <c r="M627">
        <v>166.67</v>
      </c>
      <c r="N627" t="s">
        <v>21</v>
      </c>
      <c r="O627" t="s">
        <v>28</v>
      </c>
    </row>
    <row r="628" spans="1:15" x14ac:dyDescent="0.35">
      <c r="A628" t="s">
        <v>935</v>
      </c>
      <c r="B628" s="1">
        <v>45667</v>
      </c>
      <c r="C628" t="s">
        <v>204</v>
      </c>
      <c r="D628" t="s">
        <v>50</v>
      </c>
      <c r="E628" t="s">
        <v>32</v>
      </c>
      <c r="F628" t="s">
        <v>67</v>
      </c>
      <c r="G628" t="s">
        <v>37</v>
      </c>
      <c r="H628">
        <v>1</v>
      </c>
      <c r="I628">
        <v>75.010000000000005</v>
      </c>
      <c r="J628">
        <v>0.1</v>
      </c>
      <c r="K628">
        <v>67.510000000000005</v>
      </c>
      <c r="L628">
        <v>40</v>
      </c>
      <c r="M628">
        <v>27.51</v>
      </c>
      <c r="N628" t="s">
        <v>38</v>
      </c>
      <c r="O628" t="s">
        <v>22</v>
      </c>
    </row>
    <row r="629" spans="1:15" x14ac:dyDescent="0.35">
      <c r="A629" t="s">
        <v>936</v>
      </c>
      <c r="B629" s="1">
        <v>45893</v>
      </c>
      <c r="C629" t="s">
        <v>268</v>
      </c>
      <c r="D629" t="s">
        <v>66</v>
      </c>
      <c r="E629" t="s">
        <v>61</v>
      </c>
      <c r="F629" t="s">
        <v>78</v>
      </c>
      <c r="G629" t="s">
        <v>20</v>
      </c>
      <c r="H629">
        <v>5</v>
      </c>
      <c r="I629">
        <v>329.98</v>
      </c>
      <c r="J629">
        <v>0.15</v>
      </c>
      <c r="K629">
        <v>1402.42</v>
      </c>
      <c r="L629">
        <v>1000</v>
      </c>
      <c r="M629">
        <v>402.42</v>
      </c>
      <c r="N629" t="s">
        <v>38</v>
      </c>
      <c r="O629" t="s">
        <v>28</v>
      </c>
    </row>
    <row r="630" spans="1:15" x14ac:dyDescent="0.35">
      <c r="A630" t="s">
        <v>937</v>
      </c>
      <c r="B630" s="1">
        <v>45701</v>
      </c>
      <c r="C630" t="s">
        <v>549</v>
      </c>
      <c r="D630" t="s">
        <v>31</v>
      </c>
      <c r="E630" t="s">
        <v>32</v>
      </c>
      <c r="F630" t="s">
        <v>67</v>
      </c>
      <c r="G630" t="s">
        <v>37</v>
      </c>
      <c r="H630">
        <v>4</v>
      </c>
      <c r="I630">
        <v>71.73</v>
      </c>
      <c r="J630">
        <v>0</v>
      </c>
      <c r="K630">
        <v>286.92</v>
      </c>
      <c r="L630">
        <v>160</v>
      </c>
      <c r="M630">
        <v>126.92</v>
      </c>
      <c r="N630" t="s">
        <v>21</v>
      </c>
      <c r="O630" t="s">
        <v>28</v>
      </c>
    </row>
    <row r="631" spans="1:15" x14ac:dyDescent="0.35">
      <c r="A631" t="s">
        <v>938</v>
      </c>
      <c r="B631" s="1">
        <v>45777</v>
      </c>
      <c r="C631" t="s">
        <v>601</v>
      </c>
      <c r="D631" t="s">
        <v>25</v>
      </c>
      <c r="E631" t="s">
        <v>26</v>
      </c>
      <c r="F631" t="s">
        <v>19</v>
      </c>
      <c r="G631" t="s">
        <v>20</v>
      </c>
      <c r="H631">
        <v>2</v>
      </c>
      <c r="I631">
        <v>269.70999999999998</v>
      </c>
      <c r="J631">
        <v>0.05</v>
      </c>
      <c r="K631">
        <v>512.45000000000005</v>
      </c>
      <c r="L631">
        <v>340</v>
      </c>
      <c r="M631">
        <v>172.45</v>
      </c>
      <c r="N631" t="s">
        <v>38</v>
      </c>
      <c r="O631" t="s">
        <v>42</v>
      </c>
    </row>
    <row r="632" spans="1:15" x14ac:dyDescent="0.35">
      <c r="A632" t="s">
        <v>939</v>
      </c>
      <c r="B632" s="1">
        <v>45901</v>
      </c>
      <c r="C632" t="s">
        <v>328</v>
      </c>
      <c r="D632" t="s">
        <v>25</v>
      </c>
      <c r="E632" t="s">
        <v>26</v>
      </c>
      <c r="F632" t="s">
        <v>67</v>
      </c>
      <c r="G632" t="s">
        <v>37</v>
      </c>
      <c r="H632">
        <v>1</v>
      </c>
      <c r="I632">
        <v>76.17</v>
      </c>
      <c r="J632">
        <v>0</v>
      </c>
      <c r="K632">
        <v>76.17</v>
      </c>
      <c r="L632">
        <v>40</v>
      </c>
      <c r="M632">
        <v>36.17</v>
      </c>
      <c r="N632" t="s">
        <v>21</v>
      </c>
      <c r="O632" t="s">
        <v>42</v>
      </c>
    </row>
    <row r="633" spans="1:15" x14ac:dyDescent="0.35">
      <c r="A633" t="s">
        <v>940</v>
      </c>
      <c r="B633" s="1">
        <v>45988</v>
      </c>
      <c r="C633" t="s">
        <v>288</v>
      </c>
      <c r="D633" t="s">
        <v>45</v>
      </c>
      <c r="E633" t="s">
        <v>46</v>
      </c>
      <c r="F633" t="s">
        <v>108</v>
      </c>
      <c r="G633" t="s">
        <v>37</v>
      </c>
      <c r="H633">
        <v>2</v>
      </c>
      <c r="I633">
        <v>419.91</v>
      </c>
      <c r="J633">
        <v>0</v>
      </c>
      <c r="K633">
        <v>839.82</v>
      </c>
      <c r="L633">
        <v>560</v>
      </c>
      <c r="M633">
        <v>279.82</v>
      </c>
      <c r="N633" t="s">
        <v>33</v>
      </c>
      <c r="O633" t="s">
        <v>28</v>
      </c>
    </row>
    <row r="634" spans="1:15" x14ac:dyDescent="0.35">
      <c r="A634" t="s">
        <v>941</v>
      </c>
      <c r="B634" s="1">
        <v>45832</v>
      </c>
      <c r="C634" t="s">
        <v>93</v>
      </c>
      <c r="D634" t="s">
        <v>60</v>
      </c>
      <c r="E634" t="s">
        <v>61</v>
      </c>
      <c r="F634" t="s">
        <v>19</v>
      </c>
      <c r="G634" t="s">
        <v>20</v>
      </c>
      <c r="H634">
        <v>1</v>
      </c>
      <c r="I634">
        <v>281.89999999999998</v>
      </c>
      <c r="J634">
        <v>0</v>
      </c>
      <c r="K634">
        <v>281.89999999999998</v>
      </c>
      <c r="L634">
        <v>170</v>
      </c>
      <c r="M634">
        <v>111.9</v>
      </c>
      <c r="N634" t="s">
        <v>21</v>
      </c>
      <c r="O634" t="s">
        <v>42</v>
      </c>
    </row>
    <row r="635" spans="1:15" x14ac:dyDescent="0.35">
      <c r="A635" t="s">
        <v>942</v>
      </c>
      <c r="B635" s="1">
        <v>45687</v>
      </c>
      <c r="C635" t="s">
        <v>266</v>
      </c>
      <c r="D635" t="s">
        <v>17</v>
      </c>
      <c r="E635" t="s">
        <v>18</v>
      </c>
      <c r="F635" t="s">
        <v>19</v>
      </c>
      <c r="G635" t="s">
        <v>20</v>
      </c>
      <c r="H635">
        <v>1</v>
      </c>
      <c r="I635">
        <v>295.79000000000002</v>
      </c>
      <c r="J635">
        <v>0.1</v>
      </c>
      <c r="K635">
        <v>266.20999999999998</v>
      </c>
      <c r="L635">
        <v>170</v>
      </c>
      <c r="M635">
        <v>96.21</v>
      </c>
      <c r="N635" t="s">
        <v>47</v>
      </c>
      <c r="O635" t="s">
        <v>42</v>
      </c>
    </row>
    <row r="636" spans="1:15" x14ac:dyDescent="0.35">
      <c r="A636" t="s">
        <v>943</v>
      </c>
      <c r="B636" s="1">
        <v>45981</v>
      </c>
      <c r="C636" t="s">
        <v>944</v>
      </c>
      <c r="D636" t="s">
        <v>66</v>
      </c>
      <c r="E636" t="s">
        <v>61</v>
      </c>
      <c r="F636" t="s">
        <v>36</v>
      </c>
      <c r="G636" t="s">
        <v>37</v>
      </c>
      <c r="H636">
        <v>3</v>
      </c>
      <c r="I636">
        <v>117.14</v>
      </c>
      <c r="J636">
        <v>0</v>
      </c>
      <c r="K636">
        <v>351.42</v>
      </c>
      <c r="L636">
        <v>180</v>
      </c>
      <c r="M636">
        <v>171.42</v>
      </c>
      <c r="N636" t="s">
        <v>21</v>
      </c>
      <c r="O636" t="s">
        <v>28</v>
      </c>
    </row>
    <row r="637" spans="1:15" x14ac:dyDescent="0.35">
      <c r="A637" t="s">
        <v>945</v>
      </c>
      <c r="B637" s="1">
        <v>45675</v>
      </c>
      <c r="C637" t="s">
        <v>640</v>
      </c>
      <c r="D637" t="s">
        <v>60</v>
      </c>
      <c r="E637" t="s">
        <v>61</v>
      </c>
      <c r="F637" t="s">
        <v>27</v>
      </c>
      <c r="G637" t="s">
        <v>20</v>
      </c>
      <c r="H637">
        <v>3</v>
      </c>
      <c r="I637">
        <v>186.67</v>
      </c>
      <c r="J637">
        <v>0.05</v>
      </c>
      <c r="K637">
        <v>532.01</v>
      </c>
      <c r="L637">
        <v>330</v>
      </c>
      <c r="M637">
        <v>202.01</v>
      </c>
      <c r="N637" t="s">
        <v>47</v>
      </c>
      <c r="O637" t="s">
        <v>28</v>
      </c>
    </row>
    <row r="638" spans="1:15" x14ac:dyDescent="0.35">
      <c r="A638" t="s">
        <v>946</v>
      </c>
      <c r="B638" s="1">
        <v>45912</v>
      </c>
      <c r="C638" t="s">
        <v>532</v>
      </c>
      <c r="D638" t="s">
        <v>17</v>
      </c>
      <c r="E638" t="s">
        <v>18</v>
      </c>
      <c r="F638" t="s">
        <v>108</v>
      </c>
      <c r="G638" t="s">
        <v>37</v>
      </c>
      <c r="H638">
        <v>1</v>
      </c>
      <c r="I638">
        <v>419.58</v>
      </c>
      <c r="J638">
        <v>0.15</v>
      </c>
      <c r="K638">
        <v>356.64</v>
      </c>
      <c r="L638">
        <v>280</v>
      </c>
      <c r="M638">
        <v>76.64</v>
      </c>
      <c r="N638" t="s">
        <v>21</v>
      </c>
      <c r="O638" t="s">
        <v>28</v>
      </c>
    </row>
    <row r="639" spans="1:15" x14ac:dyDescent="0.35">
      <c r="A639" t="s">
        <v>947</v>
      </c>
      <c r="B639" s="1">
        <v>45745</v>
      </c>
      <c r="C639" t="s">
        <v>53</v>
      </c>
      <c r="D639" t="s">
        <v>17</v>
      </c>
      <c r="E639" t="s">
        <v>18</v>
      </c>
      <c r="F639" t="s">
        <v>27</v>
      </c>
      <c r="G639" t="s">
        <v>20</v>
      </c>
      <c r="H639">
        <v>1</v>
      </c>
      <c r="I639">
        <v>200.31</v>
      </c>
      <c r="J639">
        <v>0.1</v>
      </c>
      <c r="K639">
        <v>180.28</v>
      </c>
      <c r="L639">
        <v>110</v>
      </c>
      <c r="M639">
        <v>70.28</v>
      </c>
      <c r="N639" t="s">
        <v>47</v>
      </c>
      <c r="O639" t="s">
        <v>28</v>
      </c>
    </row>
    <row r="640" spans="1:15" x14ac:dyDescent="0.35">
      <c r="A640" t="s">
        <v>948</v>
      </c>
      <c r="B640" s="1">
        <v>45965</v>
      </c>
      <c r="C640" t="s">
        <v>288</v>
      </c>
      <c r="D640" t="s">
        <v>50</v>
      </c>
      <c r="E640" t="s">
        <v>32</v>
      </c>
      <c r="F640" t="s">
        <v>41</v>
      </c>
      <c r="G640" t="s">
        <v>37</v>
      </c>
      <c r="H640">
        <v>1</v>
      </c>
      <c r="I640">
        <v>829.8</v>
      </c>
      <c r="J640">
        <v>0</v>
      </c>
      <c r="K640">
        <v>829.8</v>
      </c>
      <c r="L640">
        <v>600</v>
      </c>
      <c r="M640">
        <v>229.8</v>
      </c>
      <c r="N640" t="s">
        <v>47</v>
      </c>
      <c r="O640" t="s">
        <v>28</v>
      </c>
    </row>
    <row r="641" spans="1:15" x14ac:dyDescent="0.35">
      <c r="A641" t="s">
        <v>949</v>
      </c>
      <c r="B641" s="1">
        <v>45800</v>
      </c>
      <c r="C641" t="s">
        <v>206</v>
      </c>
      <c r="D641" t="s">
        <v>25</v>
      </c>
      <c r="E641" t="s">
        <v>26</v>
      </c>
      <c r="F641" t="s">
        <v>67</v>
      </c>
      <c r="G641" t="s">
        <v>37</v>
      </c>
      <c r="H641">
        <v>4</v>
      </c>
      <c r="I641">
        <v>73.45</v>
      </c>
      <c r="J641">
        <v>0.05</v>
      </c>
      <c r="K641">
        <v>279.11</v>
      </c>
      <c r="L641">
        <v>160</v>
      </c>
      <c r="M641">
        <v>119.11</v>
      </c>
      <c r="N641" t="s">
        <v>21</v>
      </c>
      <c r="O641" t="s">
        <v>28</v>
      </c>
    </row>
    <row r="642" spans="1:15" x14ac:dyDescent="0.35">
      <c r="A642" t="s">
        <v>950</v>
      </c>
      <c r="B642" s="1">
        <v>45894</v>
      </c>
      <c r="C642" t="s">
        <v>685</v>
      </c>
      <c r="D642" t="s">
        <v>60</v>
      </c>
      <c r="E642" t="s">
        <v>61</v>
      </c>
      <c r="F642" t="s">
        <v>36</v>
      </c>
      <c r="G642" t="s">
        <v>37</v>
      </c>
      <c r="H642">
        <v>4</v>
      </c>
      <c r="I642">
        <v>128.85</v>
      </c>
      <c r="J642">
        <v>0</v>
      </c>
      <c r="K642">
        <v>515.4</v>
      </c>
      <c r="L642">
        <v>240</v>
      </c>
      <c r="M642">
        <v>275.39999999999998</v>
      </c>
      <c r="N642" t="s">
        <v>47</v>
      </c>
      <c r="O642" t="s">
        <v>28</v>
      </c>
    </row>
    <row r="643" spans="1:15" x14ac:dyDescent="0.35">
      <c r="A643" t="s">
        <v>951</v>
      </c>
      <c r="B643" s="1">
        <v>45957</v>
      </c>
      <c r="C643" t="s">
        <v>90</v>
      </c>
      <c r="D643" t="s">
        <v>17</v>
      </c>
      <c r="E643" t="s">
        <v>18</v>
      </c>
      <c r="F643" t="s">
        <v>108</v>
      </c>
      <c r="G643" t="s">
        <v>37</v>
      </c>
      <c r="H643">
        <v>4</v>
      </c>
      <c r="I643">
        <v>403.73</v>
      </c>
      <c r="J643">
        <v>0.15</v>
      </c>
      <c r="K643">
        <v>1372.68</v>
      </c>
      <c r="L643">
        <v>1120</v>
      </c>
      <c r="M643">
        <v>252.68</v>
      </c>
      <c r="N643" t="s">
        <v>33</v>
      </c>
      <c r="O643" t="s">
        <v>28</v>
      </c>
    </row>
    <row r="644" spans="1:15" x14ac:dyDescent="0.35">
      <c r="A644" t="s">
        <v>952</v>
      </c>
      <c r="B644" s="1">
        <v>45969</v>
      </c>
      <c r="C644" t="s">
        <v>214</v>
      </c>
      <c r="D644" t="s">
        <v>58</v>
      </c>
      <c r="E644" t="s">
        <v>18</v>
      </c>
      <c r="F644" t="s">
        <v>19</v>
      </c>
      <c r="G644" t="s">
        <v>20</v>
      </c>
      <c r="H644">
        <v>6</v>
      </c>
      <c r="I644">
        <v>277.17</v>
      </c>
      <c r="J644">
        <v>0</v>
      </c>
      <c r="K644">
        <v>1663.02</v>
      </c>
      <c r="L644">
        <v>1020</v>
      </c>
      <c r="M644">
        <v>643.02</v>
      </c>
      <c r="N644" t="s">
        <v>21</v>
      </c>
      <c r="O644" t="s">
        <v>22</v>
      </c>
    </row>
    <row r="645" spans="1:15" x14ac:dyDescent="0.35">
      <c r="A645" t="s">
        <v>953</v>
      </c>
      <c r="B645" s="1">
        <v>45981</v>
      </c>
      <c r="C645" t="s">
        <v>787</v>
      </c>
      <c r="D645" t="s">
        <v>50</v>
      </c>
      <c r="E645" t="s">
        <v>32</v>
      </c>
      <c r="F645" t="s">
        <v>41</v>
      </c>
      <c r="G645" t="s">
        <v>37</v>
      </c>
      <c r="H645">
        <v>1</v>
      </c>
      <c r="I645">
        <v>909.56</v>
      </c>
      <c r="J645">
        <v>0.05</v>
      </c>
      <c r="K645">
        <v>864.08</v>
      </c>
      <c r="L645">
        <v>600</v>
      </c>
      <c r="M645">
        <v>264.08</v>
      </c>
      <c r="N645" t="s">
        <v>21</v>
      </c>
      <c r="O645" t="s">
        <v>28</v>
      </c>
    </row>
    <row r="646" spans="1:15" x14ac:dyDescent="0.35">
      <c r="A646" t="s">
        <v>954</v>
      </c>
      <c r="B646" s="1">
        <v>45918</v>
      </c>
      <c r="C646" t="s">
        <v>564</v>
      </c>
      <c r="D646" t="s">
        <v>50</v>
      </c>
      <c r="E646" t="s">
        <v>32</v>
      </c>
      <c r="F646" t="s">
        <v>36</v>
      </c>
      <c r="G646" t="s">
        <v>37</v>
      </c>
      <c r="H646">
        <v>1</v>
      </c>
      <c r="I646">
        <v>128.88999999999999</v>
      </c>
      <c r="J646">
        <v>0</v>
      </c>
      <c r="K646">
        <v>128.88999999999999</v>
      </c>
      <c r="L646">
        <v>60</v>
      </c>
      <c r="M646">
        <v>68.89</v>
      </c>
      <c r="N646" t="s">
        <v>21</v>
      </c>
      <c r="O646" t="s">
        <v>28</v>
      </c>
    </row>
    <row r="647" spans="1:15" x14ac:dyDescent="0.35">
      <c r="A647" t="s">
        <v>955</v>
      </c>
      <c r="B647" s="1">
        <v>45755</v>
      </c>
      <c r="C647" t="s">
        <v>956</v>
      </c>
      <c r="D647" t="s">
        <v>17</v>
      </c>
      <c r="E647" t="s">
        <v>18</v>
      </c>
      <c r="F647" t="s">
        <v>19</v>
      </c>
      <c r="G647" t="s">
        <v>20</v>
      </c>
      <c r="H647">
        <v>2</v>
      </c>
      <c r="I647">
        <v>267.70999999999998</v>
      </c>
      <c r="J647">
        <v>0.1</v>
      </c>
      <c r="K647">
        <v>481.88</v>
      </c>
      <c r="L647">
        <v>340</v>
      </c>
      <c r="M647">
        <v>141.88</v>
      </c>
      <c r="N647" t="s">
        <v>21</v>
      </c>
      <c r="O647" t="s">
        <v>28</v>
      </c>
    </row>
    <row r="648" spans="1:15" x14ac:dyDescent="0.35">
      <c r="A648" t="s">
        <v>957</v>
      </c>
      <c r="B648" s="1">
        <v>45762</v>
      </c>
      <c r="C648" t="s">
        <v>30</v>
      </c>
      <c r="D648" t="s">
        <v>31</v>
      </c>
      <c r="E648" t="s">
        <v>32</v>
      </c>
      <c r="F648" t="s">
        <v>67</v>
      </c>
      <c r="G648" t="s">
        <v>37</v>
      </c>
      <c r="H648">
        <v>2</v>
      </c>
      <c r="I648">
        <v>73.61</v>
      </c>
      <c r="J648">
        <v>0</v>
      </c>
      <c r="K648">
        <v>147.22</v>
      </c>
      <c r="L648">
        <v>80</v>
      </c>
      <c r="M648">
        <v>67.22</v>
      </c>
      <c r="N648" t="s">
        <v>21</v>
      </c>
      <c r="O648" t="s">
        <v>28</v>
      </c>
    </row>
    <row r="649" spans="1:15" x14ac:dyDescent="0.35">
      <c r="A649" t="s">
        <v>958</v>
      </c>
      <c r="B649" s="1">
        <v>45658</v>
      </c>
      <c r="C649" t="s">
        <v>956</v>
      </c>
      <c r="D649" t="s">
        <v>45</v>
      </c>
      <c r="E649" t="s">
        <v>46</v>
      </c>
      <c r="F649" t="s">
        <v>27</v>
      </c>
      <c r="G649" t="s">
        <v>20</v>
      </c>
      <c r="H649">
        <v>2</v>
      </c>
      <c r="I649">
        <v>181.92</v>
      </c>
      <c r="J649">
        <v>0</v>
      </c>
      <c r="K649">
        <v>363.84</v>
      </c>
      <c r="L649">
        <v>220</v>
      </c>
      <c r="M649">
        <v>143.84</v>
      </c>
      <c r="N649" t="s">
        <v>33</v>
      </c>
      <c r="O649" t="s">
        <v>28</v>
      </c>
    </row>
    <row r="650" spans="1:15" x14ac:dyDescent="0.35">
      <c r="A650" t="s">
        <v>959</v>
      </c>
      <c r="B650" s="1">
        <v>45706</v>
      </c>
      <c r="C650" t="s">
        <v>610</v>
      </c>
      <c r="D650" t="s">
        <v>31</v>
      </c>
      <c r="E650" t="s">
        <v>32</v>
      </c>
      <c r="F650" t="s">
        <v>78</v>
      </c>
      <c r="G650" t="s">
        <v>20</v>
      </c>
      <c r="H650">
        <v>4</v>
      </c>
      <c r="I650">
        <v>320.68</v>
      </c>
      <c r="J650">
        <v>0</v>
      </c>
      <c r="K650">
        <v>1282.72</v>
      </c>
      <c r="L650">
        <v>800</v>
      </c>
      <c r="M650">
        <v>482.72</v>
      </c>
      <c r="N650" t="s">
        <v>21</v>
      </c>
      <c r="O650" t="s">
        <v>22</v>
      </c>
    </row>
    <row r="651" spans="1:15" x14ac:dyDescent="0.35">
      <c r="A651" t="s">
        <v>960</v>
      </c>
      <c r="B651" s="1">
        <v>45889</v>
      </c>
      <c r="C651" t="s">
        <v>739</v>
      </c>
      <c r="D651" t="s">
        <v>45</v>
      </c>
      <c r="E651" t="s">
        <v>46</v>
      </c>
      <c r="F651" t="s">
        <v>78</v>
      </c>
      <c r="G651" t="s">
        <v>20</v>
      </c>
      <c r="H651">
        <v>1</v>
      </c>
      <c r="I651">
        <v>350.11</v>
      </c>
      <c r="J651">
        <v>0</v>
      </c>
      <c r="K651">
        <v>350.11</v>
      </c>
      <c r="L651">
        <v>200</v>
      </c>
      <c r="M651">
        <v>150.11000000000001</v>
      </c>
      <c r="N651" t="s">
        <v>47</v>
      </c>
      <c r="O651" t="s">
        <v>22</v>
      </c>
    </row>
    <row r="652" spans="1:15" x14ac:dyDescent="0.35">
      <c r="A652" t="s">
        <v>961</v>
      </c>
      <c r="B652" s="1">
        <v>45737</v>
      </c>
      <c r="C652" t="s">
        <v>346</v>
      </c>
      <c r="D652" t="s">
        <v>60</v>
      </c>
      <c r="E652" t="s">
        <v>61</v>
      </c>
      <c r="F652" t="s">
        <v>51</v>
      </c>
      <c r="G652" t="s">
        <v>37</v>
      </c>
      <c r="H652">
        <v>3</v>
      </c>
      <c r="I652">
        <v>257.29000000000002</v>
      </c>
      <c r="J652">
        <v>0</v>
      </c>
      <c r="K652">
        <v>771.87</v>
      </c>
      <c r="L652">
        <v>450</v>
      </c>
      <c r="M652">
        <v>321.87</v>
      </c>
      <c r="N652" t="s">
        <v>33</v>
      </c>
      <c r="O652" t="s">
        <v>42</v>
      </c>
    </row>
    <row r="653" spans="1:15" x14ac:dyDescent="0.35">
      <c r="A653" t="s">
        <v>962</v>
      </c>
      <c r="B653" s="1">
        <v>45999</v>
      </c>
      <c r="C653" t="s">
        <v>201</v>
      </c>
      <c r="D653" t="s">
        <v>66</v>
      </c>
      <c r="E653" t="s">
        <v>61</v>
      </c>
      <c r="F653" t="s">
        <v>41</v>
      </c>
      <c r="G653" t="s">
        <v>37</v>
      </c>
      <c r="H653">
        <v>6</v>
      </c>
      <c r="I653">
        <v>819.78</v>
      </c>
      <c r="J653">
        <v>0</v>
      </c>
      <c r="K653">
        <v>4918.68</v>
      </c>
      <c r="L653">
        <v>3600</v>
      </c>
      <c r="M653">
        <v>1318.68</v>
      </c>
      <c r="N653" t="s">
        <v>33</v>
      </c>
      <c r="O653" t="s">
        <v>28</v>
      </c>
    </row>
    <row r="654" spans="1:15" x14ac:dyDescent="0.35">
      <c r="A654" t="s">
        <v>963</v>
      </c>
      <c r="B654" s="1">
        <v>45903</v>
      </c>
      <c r="C654" t="s">
        <v>216</v>
      </c>
      <c r="D654" t="s">
        <v>50</v>
      </c>
      <c r="E654" t="s">
        <v>32</v>
      </c>
      <c r="F654" t="s">
        <v>67</v>
      </c>
      <c r="G654" t="s">
        <v>37</v>
      </c>
      <c r="H654">
        <v>1</v>
      </c>
      <c r="I654">
        <v>76.25</v>
      </c>
      <c r="J654">
        <v>0.2</v>
      </c>
      <c r="K654">
        <v>61</v>
      </c>
      <c r="L654">
        <v>40</v>
      </c>
      <c r="M654">
        <v>21</v>
      </c>
      <c r="N654" t="s">
        <v>47</v>
      </c>
      <c r="O654" t="s">
        <v>22</v>
      </c>
    </row>
    <row r="655" spans="1:15" x14ac:dyDescent="0.35">
      <c r="A655" t="s">
        <v>964</v>
      </c>
      <c r="B655" s="1">
        <v>45702</v>
      </c>
      <c r="C655" t="s">
        <v>110</v>
      </c>
      <c r="D655" t="s">
        <v>66</v>
      </c>
      <c r="E655" t="s">
        <v>61</v>
      </c>
      <c r="F655" t="s">
        <v>78</v>
      </c>
      <c r="G655" t="s">
        <v>20</v>
      </c>
      <c r="H655">
        <v>1</v>
      </c>
      <c r="I655">
        <v>341.71</v>
      </c>
      <c r="J655">
        <v>0</v>
      </c>
      <c r="K655">
        <v>341.71</v>
      </c>
      <c r="L655">
        <v>200</v>
      </c>
      <c r="M655">
        <v>141.71</v>
      </c>
      <c r="N655" t="s">
        <v>21</v>
      </c>
      <c r="O655" t="s">
        <v>28</v>
      </c>
    </row>
    <row r="656" spans="1:15" x14ac:dyDescent="0.35">
      <c r="A656" t="s">
        <v>965</v>
      </c>
      <c r="B656" s="1">
        <v>45725</v>
      </c>
      <c r="C656" t="s">
        <v>469</v>
      </c>
      <c r="D656" t="s">
        <v>58</v>
      </c>
      <c r="E656" t="s">
        <v>18</v>
      </c>
      <c r="F656" t="s">
        <v>108</v>
      </c>
      <c r="G656" t="s">
        <v>37</v>
      </c>
      <c r="H656">
        <v>4</v>
      </c>
      <c r="I656">
        <v>423.94</v>
      </c>
      <c r="J656">
        <v>0</v>
      </c>
      <c r="K656">
        <v>1695.76</v>
      </c>
      <c r="L656">
        <v>1120</v>
      </c>
      <c r="M656">
        <v>575.76</v>
      </c>
      <c r="N656" t="s">
        <v>21</v>
      </c>
      <c r="O656" t="s">
        <v>28</v>
      </c>
    </row>
    <row r="657" spans="1:15" x14ac:dyDescent="0.35">
      <c r="A657" t="s">
        <v>966</v>
      </c>
      <c r="B657" s="1">
        <v>45667</v>
      </c>
      <c r="C657" t="s">
        <v>240</v>
      </c>
      <c r="D657" t="s">
        <v>31</v>
      </c>
      <c r="E657" t="s">
        <v>32</v>
      </c>
      <c r="F657" t="s">
        <v>36</v>
      </c>
      <c r="G657" t="s">
        <v>37</v>
      </c>
      <c r="H657">
        <v>6</v>
      </c>
      <c r="I657">
        <v>115.51</v>
      </c>
      <c r="J657">
        <v>0</v>
      </c>
      <c r="K657">
        <v>693.06</v>
      </c>
      <c r="L657">
        <v>360</v>
      </c>
      <c r="M657">
        <v>333.06</v>
      </c>
      <c r="N657" t="s">
        <v>38</v>
      </c>
      <c r="O657" t="s">
        <v>42</v>
      </c>
    </row>
    <row r="658" spans="1:15" x14ac:dyDescent="0.35">
      <c r="A658" t="s">
        <v>967</v>
      </c>
      <c r="B658" s="1">
        <v>45706</v>
      </c>
      <c r="C658" t="s">
        <v>395</v>
      </c>
      <c r="D658" t="s">
        <v>60</v>
      </c>
      <c r="E658" t="s">
        <v>61</v>
      </c>
      <c r="F658" t="s">
        <v>41</v>
      </c>
      <c r="G658" t="s">
        <v>37</v>
      </c>
      <c r="H658">
        <v>4</v>
      </c>
      <c r="I658">
        <v>859.18</v>
      </c>
      <c r="J658">
        <v>0</v>
      </c>
      <c r="K658">
        <v>3436.72</v>
      </c>
      <c r="L658">
        <v>2400</v>
      </c>
      <c r="M658">
        <v>1036.72</v>
      </c>
      <c r="N658" t="s">
        <v>47</v>
      </c>
      <c r="O658" t="s">
        <v>28</v>
      </c>
    </row>
    <row r="659" spans="1:15" x14ac:dyDescent="0.35">
      <c r="A659" t="s">
        <v>968</v>
      </c>
      <c r="B659" s="1">
        <v>45963</v>
      </c>
      <c r="C659" t="s">
        <v>113</v>
      </c>
      <c r="D659" t="s">
        <v>60</v>
      </c>
      <c r="E659" t="s">
        <v>61</v>
      </c>
      <c r="F659" t="s">
        <v>19</v>
      </c>
      <c r="G659" t="s">
        <v>20</v>
      </c>
      <c r="H659">
        <v>4</v>
      </c>
      <c r="I659">
        <v>276.72000000000003</v>
      </c>
      <c r="J659">
        <v>0.15</v>
      </c>
      <c r="K659">
        <v>940.85</v>
      </c>
      <c r="L659">
        <v>680</v>
      </c>
      <c r="M659">
        <v>260.85000000000002</v>
      </c>
      <c r="N659" t="s">
        <v>47</v>
      </c>
      <c r="O659" t="s">
        <v>28</v>
      </c>
    </row>
    <row r="660" spans="1:15" x14ac:dyDescent="0.35">
      <c r="A660" t="s">
        <v>969</v>
      </c>
      <c r="B660" s="1">
        <v>45919</v>
      </c>
      <c r="C660" t="s">
        <v>127</v>
      </c>
      <c r="D660" t="s">
        <v>60</v>
      </c>
      <c r="E660" t="s">
        <v>61</v>
      </c>
      <c r="F660" t="s">
        <v>41</v>
      </c>
      <c r="G660" t="s">
        <v>37</v>
      </c>
      <c r="H660">
        <v>4</v>
      </c>
      <c r="I660">
        <v>911.96</v>
      </c>
      <c r="J660">
        <v>0.05</v>
      </c>
      <c r="K660">
        <v>3465.45</v>
      </c>
      <c r="L660">
        <v>2400</v>
      </c>
      <c r="M660">
        <v>1065.45</v>
      </c>
      <c r="N660" t="s">
        <v>33</v>
      </c>
      <c r="O660" t="s">
        <v>28</v>
      </c>
    </row>
    <row r="661" spans="1:15" x14ac:dyDescent="0.35">
      <c r="A661" t="s">
        <v>970</v>
      </c>
      <c r="B661" s="1">
        <v>45839</v>
      </c>
      <c r="C661" t="s">
        <v>456</v>
      </c>
      <c r="D661" t="s">
        <v>60</v>
      </c>
      <c r="E661" t="s">
        <v>61</v>
      </c>
      <c r="F661" t="s">
        <v>67</v>
      </c>
      <c r="G661" t="s">
        <v>37</v>
      </c>
      <c r="H661">
        <v>1</v>
      </c>
      <c r="I661">
        <v>74.41</v>
      </c>
      <c r="J661">
        <v>0.05</v>
      </c>
      <c r="K661">
        <v>70.69</v>
      </c>
      <c r="L661">
        <v>40</v>
      </c>
      <c r="M661">
        <v>30.69</v>
      </c>
      <c r="N661" t="s">
        <v>33</v>
      </c>
      <c r="O661" t="s">
        <v>28</v>
      </c>
    </row>
    <row r="662" spans="1:15" x14ac:dyDescent="0.35">
      <c r="A662" t="s">
        <v>971</v>
      </c>
      <c r="B662" s="1">
        <v>45934</v>
      </c>
      <c r="C662" t="s">
        <v>972</v>
      </c>
      <c r="D662" t="s">
        <v>58</v>
      </c>
      <c r="E662" t="s">
        <v>18</v>
      </c>
      <c r="F662" t="s">
        <v>41</v>
      </c>
      <c r="G662" t="s">
        <v>37</v>
      </c>
      <c r="H662">
        <v>2</v>
      </c>
      <c r="I662">
        <v>847.03</v>
      </c>
      <c r="J662">
        <v>0.1</v>
      </c>
      <c r="K662">
        <v>1524.65</v>
      </c>
      <c r="L662">
        <v>1200</v>
      </c>
      <c r="M662">
        <v>324.64999999999998</v>
      </c>
      <c r="N662" t="s">
        <v>21</v>
      </c>
      <c r="O662" t="s">
        <v>28</v>
      </c>
    </row>
    <row r="663" spans="1:15" x14ac:dyDescent="0.35">
      <c r="A663" t="s">
        <v>973</v>
      </c>
      <c r="B663" s="1">
        <v>46011</v>
      </c>
      <c r="C663" t="s">
        <v>698</v>
      </c>
      <c r="D663" t="s">
        <v>50</v>
      </c>
      <c r="E663" t="s">
        <v>32</v>
      </c>
      <c r="F663" t="s">
        <v>27</v>
      </c>
      <c r="G663" t="s">
        <v>20</v>
      </c>
      <c r="H663">
        <v>6</v>
      </c>
      <c r="I663">
        <v>188.77</v>
      </c>
      <c r="J663">
        <v>0.15</v>
      </c>
      <c r="K663">
        <v>962.73</v>
      </c>
      <c r="L663">
        <v>660</v>
      </c>
      <c r="M663">
        <v>302.73</v>
      </c>
      <c r="N663" t="s">
        <v>33</v>
      </c>
      <c r="O663" t="s">
        <v>28</v>
      </c>
    </row>
    <row r="664" spans="1:15" x14ac:dyDescent="0.35">
      <c r="A664" t="s">
        <v>974</v>
      </c>
      <c r="B664" s="1">
        <v>45979</v>
      </c>
      <c r="C664" t="s">
        <v>235</v>
      </c>
      <c r="D664" t="s">
        <v>58</v>
      </c>
      <c r="E664" t="s">
        <v>18</v>
      </c>
      <c r="F664" t="s">
        <v>36</v>
      </c>
      <c r="G664" t="s">
        <v>37</v>
      </c>
      <c r="H664">
        <v>3</v>
      </c>
      <c r="I664">
        <v>123.52</v>
      </c>
      <c r="J664">
        <v>0.05</v>
      </c>
      <c r="K664">
        <v>352.03</v>
      </c>
      <c r="L664">
        <v>180</v>
      </c>
      <c r="M664">
        <v>172.03</v>
      </c>
      <c r="N664" t="s">
        <v>21</v>
      </c>
      <c r="O664" t="s">
        <v>28</v>
      </c>
    </row>
    <row r="665" spans="1:15" x14ac:dyDescent="0.35">
      <c r="A665" t="s">
        <v>975</v>
      </c>
      <c r="B665" s="1">
        <v>45720</v>
      </c>
      <c r="C665" t="s">
        <v>438</v>
      </c>
      <c r="D665" t="s">
        <v>31</v>
      </c>
      <c r="E665" t="s">
        <v>32</v>
      </c>
      <c r="F665" t="s">
        <v>67</v>
      </c>
      <c r="G665" t="s">
        <v>37</v>
      </c>
      <c r="H665">
        <v>3</v>
      </c>
      <c r="I665">
        <v>79.7</v>
      </c>
      <c r="J665">
        <v>0</v>
      </c>
      <c r="K665">
        <v>239.1</v>
      </c>
      <c r="L665">
        <v>120</v>
      </c>
      <c r="M665">
        <v>119.1</v>
      </c>
      <c r="N665" t="s">
        <v>33</v>
      </c>
      <c r="O665" t="s">
        <v>28</v>
      </c>
    </row>
    <row r="666" spans="1:15" x14ac:dyDescent="0.35">
      <c r="A666" t="s">
        <v>976</v>
      </c>
      <c r="B666" s="1">
        <v>45854</v>
      </c>
      <c r="C666" t="s">
        <v>101</v>
      </c>
      <c r="D666" t="s">
        <v>31</v>
      </c>
      <c r="E666" t="s">
        <v>32</v>
      </c>
      <c r="F666" t="s">
        <v>67</v>
      </c>
      <c r="G666" t="s">
        <v>37</v>
      </c>
      <c r="H666">
        <v>4</v>
      </c>
      <c r="I666">
        <v>73.900000000000006</v>
      </c>
      <c r="J666">
        <v>0</v>
      </c>
      <c r="K666">
        <v>295.60000000000002</v>
      </c>
      <c r="L666">
        <v>160</v>
      </c>
      <c r="M666">
        <v>135.6</v>
      </c>
      <c r="N666" t="s">
        <v>47</v>
      </c>
      <c r="O666" t="s">
        <v>22</v>
      </c>
    </row>
    <row r="667" spans="1:15" x14ac:dyDescent="0.35">
      <c r="A667" t="s">
        <v>977</v>
      </c>
      <c r="B667" s="1">
        <v>45925</v>
      </c>
      <c r="C667" t="s">
        <v>492</v>
      </c>
      <c r="D667" t="s">
        <v>66</v>
      </c>
      <c r="E667" t="s">
        <v>61</v>
      </c>
      <c r="F667" t="s">
        <v>41</v>
      </c>
      <c r="G667" t="s">
        <v>37</v>
      </c>
      <c r="H667">
        <v>4</v>
      </c>
      <c r="I667">
        <v>809.01</v>
      </c>
      <c r="J667">
        <v>0.1</v>
      </c>
      <c r="K667">
        <v>2912.44</v>
      </c>
      <c r="L667">
        <v>2400</v>
      </c>
      <c r="M667">
        <v>512.44000000000005</v>
      </c>
      <c r="N667" t="s">
        <v>21</v>
      </c>
      <c r="O667" t="s">
        <v>28</v>
      </c>
    </row>
    <row r="668" spans="1:15" x14ac:dyDescent="0.35">
      <c r="A668" t="s">
        <v>978</v>
      </c>
      <c r="B668" s="1">
        <v>45845</v>
      </c>
      <c r="C668" t="s">
        <v>99</v>
      </c>
      <c r="D668" t="s">
        <v>50</v>
      </c>
      <c r="E668" t="s">
        <v>32</v>
      </c>
      <c r="F668" t="s">
        <v>36</v>
      </c>
      <c r="G668" t="s">
        <v>37</v>
      </c>
      <c r="H668">
        <v>3</v>
      </c>
      <c r="I668">
        <v>126.64</v>
      </c>
      <c r="J668">
        <v>0</v>
      </c>
      <c r="K668">
        <v>379.92</v>
      </c>
      <c r="L668">
        <v>180</v>
      </c>
      <c r="M668">
        <v>199.92</v>
      </c>
      <c r="N668" t="s">
        <v>21</v>
      </c>
      <c r="O668" t="s">
        <v>28</v>
      </c>
    </row>
    <row r="669" spans="1:15" x14ac:dyDescent="0.35">
      <c r="A669" t="s">
        <v>979</v>
      </c>
      <c r="B669" s="1">
        <v>45704</v>
      </c>
      <c r="C669" t="s">
        <v>630</v>
      </c>
      <c r="D669" t="s">
        <v>58</v>
      </c>
      <c r="E669" t="s">
        <v>18</v>
      </c>
      <c r="F669" t="s">
        <v>36</v>
      </c>
      <c r="G669" t="s">
        <v>37</v>
      </c>
      <c r="H669">
        <v>1</v>
      </c>
      <c r="I669">
        <v>122</v>
      </c>
      <c r="J669">
        <v>0</v>
      </c>
      <c r="K669">
        <v>122</v>
      </c>
      <c r="L669">
        <v>60</v>
      </c>
      <c r="M669">
        <v>62</v>
      </c>
      <c r="N669" t="s">
        <v>21</v>
      </c>
      <c r="O669" t="s">
        <v>42</v>
      </c>
    </row>
    <row r="670" spans="1:15" x14ac:dyDescent="0.35">
      <c r="A670" t="s">
        <v>980</v>
      </c>
      <c r="B670" s="1">
        <v>45824</v>
      </c>
      <c r="C670" t="s">
        <v>981</v>
      </c>
      <c r="D670" t="s">
        <v>60</v>
      </c>
      <c r="E670" t="s">
        <v>61</v>
      </c>
      <c r="F670" t="s">
        <v>19</v>
      </c>
      <c r="G670" t="s">
        <v>20</v>
      </c>
      <c r="H670">
        <v>1</v>
      </c>
      <c r="I670">
        <v>294.35000000000002</v>
      </c>
      <c r="J670">
        <v>0.05</v>
      </c>
      <c r="K670">
        <v>279.63</v>
      </c>
      <c r="L670">
        <v>170</v>
      </c>
      <c r="M670">
        <v>109.63</v>
      </c>
      <c r="N670" t="s">
        <v>47</v>
      </c>
      <c r="O670" t="s">
        <v>28</v>
      </c>
    </row>
    <row r="671" spans="1:15" x14ac:dyDescent="0.35">
      <c r="A671" t="s">
        <v>982</v>
      </c>
      <c r="B671" s="1">
        <v>45858</v>
      </c>
      <c r="C671" t="s">
        <v>610</v>
      </c>
      <c r="D671" t="s">
        <v>31</v>
      </c>
      <c r="E671" t="s">
        <v>32</v>
      </c>
      <c r="F671" t="s">
        <v>27</v>
      </c>
      <c r="G671" t="s">
        <v>20</v>
      </c>
      <c r="H671">
        <v>6</v>
      </c>
      <c r="I671">
        <v>186.62</v>
      </c>
      <c r="J671">
        <v>0.15</v>
      </c>
      <c r="K671">
        <v>951.76</v>
      </c>
      <c r="L671">
        <v>660</v>
      </c>
      <c r="M671">
        <v>291.76</v>
      </c>
      <c r="N671" t="s">
        <v>33</v>
      </c>
      <c r="O671" t="s">
        <v>28</v>
      </c>
    </row>
    <row r="672" spans="1:15" x14ac:dyDescent="0.35">
      <c r="A672" t="s">
        <v>983</v>
      </c>
      <c r="B672" s="1">
        <v>45861</v>
      </c>
      <c r="C672" t="s">
        <v>743</v>
      </c>
      <c r="D672" t="s">
        <v>66</v>
      </c>
      <c r="E672" t="s">
        <v>61</v>
      </c>
      <c r="F672" t="s">
        <v>36</v>
      </c>
      <c r="G672" t="s">
        <v>37</v>
      </c>
      <c r="H672">
        <v>1</v>
      </c>
      <c r="I672">
        <v>115.86</v>
      </c>
      <c r="J672">
        <v>0</v>
      </c>
      <c r="K672">
        <v>115.86</v>
      </c>
      <c r="L672">
        <v>60</v>
      </c>
      <c r="M672">
        <v>55.86</v>
      </c>
      <c r="N672" t="s">
        <v>21</v>
      </c>
      <c r="O672" t="s">
        <v>28</v>
      </c>
    </row>
    <row r="673" spans="1:15" x14ac:dyDescent="0.35">
      <c r="A673" t="s">
        <v>984</v>
      </c>
      <c r="B673" s="1">
        <v>45658</v>
      </c>
      <c r="C673" t="s">
        <v>621</v>
      </c>
      <c r="D673" t="s">
        <v>45</v>
      </c>
      <c r="E673" t="s">
        <v>46</v>
      </c>
      <c r="F673" t="s">
        <v>41</v>
      </c>
      <c r="G673" t="s">
        <v>37</v>
      </c>
      <c r="H673">
        <v>1</v>
      </c>
      <c r="I673">
        <v>886.08</v>
      </c>
      <c r="J673">
        <v>0.15</v>
      </c>
      <c r="K673">
        <v>753.17</v>
      </c>
      <c r="L673">
        <v>600</v>
      </c>
      <c r="M673">
        <v>153.16999999999999</v>
      </c>
      <c r="N673" t="s">
        <v>38</v>
      </c>
      <c r="O673" t="s">
        <v>28</v>
      </c>
    </row>
    <row r="674" spans="1:15" x14ac:dyDescent="0.35">
      <c r="A674" t="s">
        <v>985</v>
      </c>
      <c r="B674" s="1">
        <v>45731</v>
      </c>
      <c r="C674" t="s">
        <v>672</v>
      </c>
      <c r="D674" t="s">
        <v>45</v>
      </c>
      <c r="E674" t="s">
        <v>46</v>
      </c>
      <c r="F674" t="s">
        <v>78</v>
      </c>
      <c r="G674" t="s">
        <v>20</v>
      </c>
      <c r="H674">
        <v>3</v>
      </c>
      <c r="I674">
        <v>325.87</v>
      </c>
      <c r="J674">
        <v>0.1</v>
      </c>
      <c r="K674">
        <v>879.85</v>
      </c>
      <c r="L674">
        <v>600</v>
      </c>
      <c r="M674">
        <v>279.85000000000002</v>
      </c>
      <c r="N674" t="s">
        <v>33</v>
      </c>
      <c r="O674" t="s">
        <v>28</v>
      </c>
    </row>
    <row r="675" spans="1:15" x14ac:dyDescent="0.35">
      <c r="A675" t="s">
        <v>986</v>
      </c>
      <c r="B675" s="1">
        <v>45776</v>
      </c>
      <c r="C675" t="s">
        <v>264</v>
      </c>
      <c r="D675" t="s">
        <v>66</v>
      </c>
      <c r="E675" t="s">
        <v>61</v>
      </c>
      <c r="F675" t="s">
        <v>78</v>
      </c>
      <c r="G675" t="s">
        <v>20</v>
      </c>
      <c r="H675">
        <v>2</v>
      </c>
      <c r="I675">
        <v>320.51</v>
      </c>
      <c r="J675">
        <v>0.2</v>
      </c>
      <c r="K675">
        <v>512.82000000000005</v>
      </c>
      <c r="L675">
        <v>400</v>
      </c>
      <c r="M675">
        <v>112.82</v>
      </c>
      <c r="N675" t="s">
        <v>38</v>
      </c>
      <c r="O675" t="s">
        <v>22</v>
      </c>
    </row>
    <row r="676" spans="1:15" x14ac:dyDescent="0.35">
      <c r="A676" t="s">
        <v>987</v>
      </c>
      <c r="B676" s="1">
        <v>46014</v>
      </c>
      <c r="C676" t="s">
        <v>344</v>
      </c>
      <c r="D676" t="s">
        <v>66</v>
      </c>
      <c r="E676" t="s">
        <v>61</v>
      </c>
      <c r="F676" t="s">
        <v>27</v>
      </c>
      <c r="G676" t="s">
        <v>20</v>
      </c>
      <c r="H676">
        <v>1</v>
      </c>
      <c r="I676">
        <v>204.05</v>
      </c>
      <c r="J676">
        <v>0</v>
      </c>
      <c r="K676">
        <v>204.05</v>
      </c>
      <c r="L676">
        <v>110</v>
      </c>
      <c r="M676">
        <v>94.05</v>
      </c>
      <c r="N676" t="s">
        <v>21</v>
      </c>
      <c r="O676" t="s">
        <v>28</v>
      </c>
    </row>
    <row r="677" spans="1:15" x14ac:dyDescent="0.35">
      <c r="A677" t="s">
        <v>988</v>
      </c>
      <c r="B677" s="1">
        <v>45664</v>
      </c>
      <c r="C677" t="s">
        <v>495</v>
      </c>
      <c r="D677" t="s">
        <v>50</v>
      </c>
      <c r="E677" t="s">
        <v>32</v>
      </c>
      <c r="F677" t="s">
        <v>27</v>
      </c>
      <c r="G677" t="s">
        <v>20</v>
      </c>
      <c r="H677">
        <v>4</v>
      </c>
      <c r="I677">
        <v>198.17</v>
      </c>
      <c r="J677">
        <v>0</v>
      </c>
      <c r="K677">
        <v>792.68</v>
      </c>
      <c r="L677">
        <v>440</v>
      </c>
      <c r="M677">
        <v>352.68</v>
      </c>
      <c r="N677" t="s">
        <v>38</v>
      </c>
      <c r="O677" t="s">
        <v>42</v>
      </c>
    </row>
    <row r="678" spans="1:15" x14ac:dyDescent="0.35">
      <c r="A678" t="s">
        <v>989</v>
      </c>
      <c r="B678" s="1">
        <v>45876</v>
      </c>
      <c r="C678" t="s">
        <v>833</v>
      </c>
      <c r="D678" t="s">
        <v>50</v>
      </c>
      <c r="E678" t="s">
        <v>32</v>
      </c>
      <c r="F678" t="s">
        <v>36</v>
      </c>
      <c r="G678" t="s">
        <v>37</v>
      </c>
      <c r="H678">
        <v>1</v>
      </c>
      <c r="I678">
        <v>127.6</v>
      </c>
      <c r="J678">
        <v>0.1</v>
      </c>
      <c r="K678">
        <v>114.84</v>
      </c>
      <c r="L678">
        <v>60</v>
      </c>
      <c r="M678">
        <v>54.84</v>
      </c>
      <c r="N678" t="s">
        <v>47</v>
      </c>
      <c r="O678" t="s">
        <v>28</v>
      </c>
    </row>
    <row r="679" spans="1:15" x14ac:dyDescent="0.35">
      <c r="A679" t="s">
        <v>990</v>
      </c>
      <c r="B679" s="1">
        <v>45833</v>
      </c>
      <c r="C679" t="s">
        <v>49</v>
      </c>
      <c r="D679" t="s">
        <v>31</v>
      </c>
      <c r="E679" t="s">
        <v>32</v>
      </c>
      <c r="F679" t="s">
        <v>36</v>
      </c>
      <c r="G679" t="s">
        <v>37</v>
      </c>
      <c r="H679">
        <v>1</v>
      </c>
      <c r="I679">
        <v>126.13</v>
      </c>
      <c r="J679">
        <v>0.05</v>
      </c>
      <c r="K679">
        <v>119.82</v>
      </c>
      <c r="L679">
        <v>60</v>
      </c>
      <c r="M679">
        <v>59.82</v>
      </c>
      <c r="N679" t="s">
        <v>33</v>
      </c>
      <c r="O679" t="s">
        <v>28</v>
      </c>
    </row>
    <row r="680" spans="1:15" x14ac:dyDescent="0.35">
      <c r="A680" t="s">
        <v>991</v>
      </c>
      <c r="B680" s="1">
        <v>45930</v>
      </c>
      <c r="C680" t="s">
        <v>574</v>
      </c>
      <c r="D680" t="s">
        <v>17</v>
      </c>
      <c r="E680" t="s">
        <v>18</v>
      </c>
      <c r="F680" t="s">
        <v>27</v>
      </c>
      <c r="G680" t="s">
        <v>20</v>
      </c>
      <c r="H680">
        <v>1</v>
      </c>
      <c r="I680">
        <v>205.03</v>
      </c>
      <c r="J680">
        <v>0.05</v>
      </c>
      <c r="K680">
        <v>194.78</v>
      </c>
      <c r="L680">
        <v>110</v>
      </c>
      <c r="M680">
        <v>84.78</v>
      </c>
      <c r="N680" t="s">
        <v>21</v>
      </c>
      <c r="O680" t="s">
        <v>28</v>
      </c>
    </row>
    <row r="681" spans="1:15" x14ac:dyDescent="0.35">
      <c r="A681" t="s">
        <v>992</v>
      </c>
      <c r="B681" s="1">
        <v>45679</v>
      </c>
      <c r="C681" t="s">
        <v>82</v>
      </c>
      <c r="D681" t="s">
        <v>45</v>
      </c>
      <c r="E681" t="s">
        <v>46</v>
      </c>
      <c r="F681" t="s">
        <v>36</v>
      </c>
      <c r="G681" t="s">
        <v>37</v>
      </c>
      <c r="H681">
        <v>4</v>
      </c>
      <c r="I681">
        <v>120.96</v>
      </c>
      <c r="J681">
        <v>0</v>
      </c>
      <c r="K681">
        <v>483.84</v>
      </c>
      <c r="L681">
        <v>240</v>
      </c>
      <c r="M681">
        <v>243.84</v>
      </c>
      <c r="N681" t="s">
        <v>33</v>
      </c>
      <c r="O681" t="s">
        <v>28</v>
      </c>
    </row>
    <row r="682" spans="1:15" x14ac:dyDescent="0.35">
      <c r="A682" t="s">
        <v>993</v>
      </c>
      <c r="B682" s="1">
        <v>45970</v>
      </c>
      <c r="C682" t="s">
        <v>395</v>
      </c>
      <c r="D682" t="s">
        <v>50</v>
      </c>
      <c r="E682" t="s">
        <v>32</v>
      </c>
      <c r="F682" t="s">
        <v>19</v>
      </c>
      <c r="G682" t="s">
        <v>20</v>
      </c>
      <c r="H682">
        <v>3</v>
      </c>
      <c r="I682">
        <v>266.83999999999997</v>
      </c>
      <c r="J682">
        <v>0.15</v>
      </c>
      <c r="K682">
        <v>680.44</v>
      </c>
      <c r="L682">
        <v>510</v>
      </c>
      <c r="M682">
        <v>170.44</v>
      </c>
      <c r="N682" t="s">
        <v>47</v>
      </c>
      <c r="O682" t="s">
        <v>28</v>
      </c>
    </row>
    <row r="683" spans="1:15" x14ac:dyDescent="0.35">
      <c r="A683" t="s">
        <v>994</v>
      </c>
      <c r="B683" s="1">
        <v>45916</v>
      </c>
      <c r="C683" t="s">
        <v>304</v>
      </c>
      <c r="D683" t="s">
        <v>25</v>
      </c>
      <c r="E683" t="s">
        <v>26</v>
      </c>
      <c r="F683" t="s">
        <v>19</v>
      </c>
      <c r="G683" t="s">
        <v>20</v>
      </c>
      <c r="H683">
        <v>2</v>
      </c>
      <c r="I683">
        <v>267.48</v>
      </c>
      <c r="J683">
        <v>0.1</v>
      </c>
      <c r="K683">
        <v>481.46</v>
      </c>
      <c r="L683">
        <v>340</v>
      </c>
      <c r="M683">
        <v>141.46</v>
      </c>
      <c r="N683" t="s">
        <v>38</v>
      </c>
      <c r="O683" t="s">
        <v>28</v>
      </c>
    </row>
    <row r="684" spans="1:15" x14ac:dyDescent="0.35">
      <c r="A684" t="s">
        <v>995</v>
      </c>
      <c r="B684" s="1">
        <v>45688</v>
      </c>
      <c r="C684" t="s">
        <v>235</v>
      </c>
      <c r="D684" t="s">
        <v>58</v>
      </c>
      <c r="E684" t="s">
        <v>18</v>
      </c>
      <c r="F684" t="s">
        <v>19</v>
      </c>
      <c r="G684" t="s">
        <v>20</v>
      </c>
      <c r="H684">
        <v>2</v>
      </c>
      <c r="I684">
        <v>267.75</v>
      </c>
      <c r="J684">
        <v>0</v>
      </c>
      <c r="K684">
        <v>535.5</v>
      </c>
      <c r="L684">
        <v>340</v>
      </c>
      <c r="M684">
        <v>195.5</v>
      </c>
      <c r="N684" t="s">
        <v>21</v>
      </c>
      <c r="O684" t="s">
        <v>28</v>
      </c>
    </row>
    <row r="685" spans="1:15" x14ac:dyDescent="0.35">
      <c r="A685" t="s">
        <v>996</v>
      </c>
      <c r="B685" s="1">
        <v>45856</v>
      </c>
      <c r="C685" t="s">
        <v>204</v>
      </c>
      <c r="D685" t="s">
        <v>45</v>
      </c>
      <c r="E685" t="s">
        <v>46</v>
      </c>
      <c r="F685" t="s">
        <v>41</v>
      </c>
      <c r="G685" t="s">
        <v>37</v>
      </c>
      <c r="H685">
        <v>2</v>
      </c>
      <c r="I685">
        <v>841.11</v>
      </c>
      <c r="J685">
        <v>0</v>
      </c>
      <c r="K685">
        <v>1682.22</v>
      </c>
      <c r="L685">
        <v>1200</v>
      </c>
      <c r="M685">
        <v>482.22</v>
      </c>
      <c r="N685" t="s">
        <v>21</v>
      </c>
      <c r="O685" t="s">
        <v>22</v>
      </c>
    </row>
    <row r="686" spans="1:15" x14ac:dyDescent="0.35">
      <c r="A686" t="s">
        <v>997</v>
      </c>
      <c r="B686" s="1">
        <v>45997</v>
      </c>
      <c r="C686" t="s">
        <v>326</v>
      </c>
      <c r="D686" t="s">
        <v>60</v>
      </c>
      <c r="E686" t="s">
        <v>61</v>
      </c>
      <c r="F686" t="s">
        <v>51</v>
      </c>
      <c r="G686" t="s">
        <v>37</v>
      </c>
      <c r="H686">
        <v>3</v>
      </c>
      <c r="I686">
        <v>246.01</v>
      </c>
      <c r="J686">
        <v>0.1</v>
      </c>
      <c r="K686">
        <v>664.23</v>
      </c>
      <c r="L686">
        <v>450</v>
      </c>
      <c r="M686">
        <v>214.23</v>
      </c>
      <c r="N686" t="s">
        <v>47</v>
      </c>
      <c r="O686" t="s">
        <v>28</v>
      </c>
    </row>
    <row r="687" spans="1:15" x14ac:dyDescent="0.35">
      <c r="A687" t="s">
        <v>998</v>
      </c>
      <c r="B687" s="1">
        <v>45931</v>
      </c>
      <c r="C687" t="s">
        <v>570</v>
      </c>
      <c r="D687" t="s">
        <v>31</v>
      </c>
      <c r="E687" t="s">
        <v>32</v>
      </c>
      <c r="F687" t="s">
        <v>78</v>
      </c>
      <c r="G687" t="s">
        <v>20</v>
      </c>
      <c r="H687">
        <v>1</v>
      </c>
      <c r="I687">
        <v>321.11</v>
      </c>
      <c r="J687">
        <v>0</v>
      </c>
      <c r="K687">
        <v>321.11</v>
      </c>
      <c r="L687">
        <v>200</v>
      </c>
      <c r="M687">
        <v>121.11</v>
      </c>
      <c r="N687" t="s">
        <v>21</v>
      </c>
      <c r="O687" t="s">
        <v>42</v>
      </c>
    </row>
    <row r="688" spans="1:15" x14ac:dyDescent="0.35">
      <c r="A688" t="s">
        <v>999</v>
      </c>
      <c r="B688" s="1">
        <v>45739</v>
      </c>
      <c r="C688" t="s">
        <v>44</v>
      </c>
      <c r="D688" t="s">
        <v>45</v>
      </c>
      <c r="E688" t="s">
        <v>46</v>
      </c>
      <c r="F688" t="s">
        <v>41</v>
      </c>
      <c r="G688" t="s">
        <v>37</v>
      </c>
      <c r="H688">
        <v>1</v>
      </c>
      <c r="I688">
        <v>861.48</v>
      </c>
      <c r="J688">
        <v>0.05</v>
      </c>
      <c r="K688">
        <v>818.41</v>
      </c>
      <c r="L688">
        <v>600</v>
      </c>
      <c r="M688">
        <v>218.41</v>
      </c>
      <c r="N688" t="s">
        <v>38</v>
      </c>
      <c r="O688" t="s">
        <v>28</v>
      </c>
    </row>
    <row r="689" spans="1:15" x14ac:dyDescent="0.35">
      <c r="A689" t="s">
        <v>1000</v>
      </c>
      <c r="B689" s="1">
        <v>45982</v>
      </c>
      <c r="C689" t="s">
        <v>139</v>
      </c>
      <c r="D689" t="s">
        <v>45</v>
      </c>
      <c r="E689" t="s">
        <v>46</v>
      </c>
      <c r="F689" t="s">
        <v>67</v>
      </c>
      <c r="G689" t="s">
        <v>37</v>
      </c>
      <c r="H689">
        <v>4</v>
      </c>
      <c r="I689">
        <v>77.349999999999994</v>
      </c>
      <c r="J689">
        <v>0.1</v>
      </c>
      <c r="K689">
        <v>278.45999999999998</v>
      </c>
      <c r="L689">
        <v>160</v>
      </c>
      <c r="M689">
        <v>118.46</v>
      </c>
      <c r="N689" t="s">
        <v>21</v>
      </c>
      <c r="O689" t="s">
        <v>28</v>
      </c>
    </row>
    <row r="690" spans="1:15" x14ac:dyDescent="0.35">
      <c r="A690" t="s">
        <v>1001</v>
      </c>
      <c r="B690" s="1">
        <v>45704</v>
      </c>
      <c r="C690" t="s">
        <v>1002</v>
      </c>
      <c r="D690" t="s">
        <v>50</v>
      </c>
      <c r="E690" t="s">
        <v>32</v>
      </c>
      <c r="F690" t="s">
        <v>36</v>
      </c>
      <c r="G690" t="s">
        <v>37</v>
      </c>
      <c r="H690">
        <v>2</v>
      </c>
      <c r="I690">
        <v>123.52</v>
      </c>
      <c r="J690">
        <v>0.15</v>
      </c>
      <c r="K690">
        <v>209.98</v>
      </c>
      <c r="L690">
        <v>120</v>
      </c>
      <c r="M690">
        <v>89.98</v>
      </c>
      <c r="N690" t="s">
        <v>47</v>
      </c>
      <c r="O690" t="s">
        <v>42</v>
      </c>
    </row>
    <row r="691" spans="1:15" x14ac:dyDescent="0.35">
      <c r="A691" t="s">
        <v>1003</v>
      </c>
      <c r="B691" s="1">
        <v>45721</v>
      </c>
      <c r="C691" t="s">
        <v>105</v>
      </c>
      <c r="D691" t="s">
        <v>50</v>
      </c>
      <c r="E691" t="s">
        <v>32</v>
      </c>
      <c r="F691" t="s">
        <v>78</v>
      </c>
      <c r="G691" t="s">
        <v>20</v>
      </c>
      <c r="H691">
        <v>3</v>
      </c>
      <c r="I691">
        <v>350.9</v>
      </c>
      <c r="J691">
        <v>0</v>
      </c>
      <c r="K691">
        <v>1052.7</v>
      </c>
      <c r="L691">
        <v>600</v>
      </c>
      <c r="M691">
        <v>452.7</v>
      </c>
      <c r="N691" t="s">
        <v>21</v>
      </c>
      <c r="O691" t="s">
        <v>22</v>
      </c>
    </row>
    <row r="692" spans="1:15" x14ac:dyDescent="0.35">
      <c r="A692" t="s">
        <v>1004</v>
      </c>
      <c r="B692" s="1">
        <v>45754</v>
      </c>
      <c r="C692" t="s">
        <v>477</v>
      </c>
      <c r="D692" t="s">
        <v>31</v>
      </c>
      <c r="E692" t="s">
        <v>32</v>
      </c>
      <c r="F692" t="s">
        <v>108</v>
      </c>
      <c r="G692" t="s">
        <v>37</v>
      </c>
      <c r="H692">
        <v>1</v>
      </c>
      <c r="I692">
        <v>421.27</v>
      </c>
      <c r="J692">
        <v>0</v>
      </c>
      <c r="K692">
        <v>421.27</v>
      </c>
      <c r="L692">
        <v>280</v>
      </c>
      <c r="M692">
        <v>141.27000000000001</v>
      </c>
      <c r="N692" t="s">
        <v>21</v>
      </c>
      <c r="O692" t="s">
        <v>28</v>
      </c>
    </row>
    <row r="693" spans="1:15" x14ac:dyDescent="0.35">
      <c r="A693" t="s">
        <v>1005</v>
      </c>
      <c r="B693" s="1">
        <v>45768</v>
      </c>
      <c r="C693" t="s">
        <v>438</v>
      </c>
      <c r="D693" t="s">
        <v>66</v>
      </c>
      <c r="E693" t="s">
        <v>61</v>
      </c>
      <c r="F693" t="s">
        <v>36</v>
      </c>
      <c r="G693" t="s">
        <v>37</v>
      </c>
      <c r="H693">
        <v>3</v>
      </c>
      <c r="I693">
        <v>124.14</v>
      </c>
      <c r="J693">
        <v>0</v>
      </c>
      <c r="K693">
        <v>372.42</v>
      </c>
      <c r="L693">
        <v>180</v>
      </c>
      <c r="M693">
        <v>192.42</v>
      </c>
      <c r="N693" t="s">
        <v>33</v>
      </c>
      <c r="O693" t="s">
        <v>28</v>
      </c>
    </row>
    <row r="694" spans="1:15" x14ac:dyDescent="0.35">
      <c r="A694" t="s">
        <v>1006</v>
      </c>
      <c r="B694" s="1">
        <v>45848</v>
      </c>
      <c r="C694" t="s">
        <v>183</v>
      </c>
      <c r="D694" t="s">
        <v>58</v>
      </c>
      <c r="E694" t="s">
        <v>18</v>
      </c>
      <c r="F694" t="s">
        <v>108</v>
      </c>
      <c r="G694" t="s">
        <v>37</v>
      </c>
      <c r="H694">
        <v>4</v>
      </c>
      <c r="I694">
        <v>424.08</v>
      </c>
      <c r="J694">
        <v>0.1</v>
      </c>
      <c r="K694">
        <v>1526.69</v>
      </c>
      <c r="L694">
        <v>1120</v>
      </c>
      <c r="M694">
        <v>406.69</v>
      </c>
      <c r="N694" t="s">
        <v>47</v>
      </c>
      <c r="O694" t="s">
        <v>28</v>
      </c>
    </row>
    <row r="695" spans="1:15" x14ac:dyDescent="0.35">
      <c r="A695" t="s">
        <v>1007</v>
      </c>
      <c r="B695" s="1">
        <v>45846</v>
      </c>
      <c r="C695" t="s">
        <v>354</v>
      </c>
      <c r="D695" t="s">
        <v>45</v>
      </c>
      <c r="E695" t="s">
        <v>46</v>
      </c>
      <c r="F695" t="s">
        <v>108</v>
      </c>
      <c r="G695" t="s">
        <v>37</v>
      </c>
      <c r="H695">
        <v>1</v>
      </c>
      <c r="I695">
        <v>449.86</v>
      </c>
      <c r="J695">
        <v>0</v>
      </c>
      <c r="K695">
        <v>449.86</v>
      </c>
      <c r="L695">
        <v>280</v>
      </c>
      <c r="M695">
        <v>169.86</v>
      </c>
      <c r="N695" t="s">
        <v>33</v>
      </c>
      <c r="O695" t="s">
        <v>22</v>
      </c>
    </row>
    <row r="696" spans="1:15" x14ac:dyDescent="0.35">
      <c r="A696" t="s">
        <v>1008</v>
      </c>
      <c r="B696" s="1">
        <v>45875</v>
      </c>
      <c r="C696" t="s">
        <v>482</v>
      </c>
      <c r="D696" t="s">
        <v>50</v>
      </c>
      <c r="E696" t="s">
        <v>32</v>
      </c>
      <c r="F696" t="s">
        <v>19</v>
      </c>
      <c r="G696" t="s">
        <v>20</v>
      </c>
      <c r="H696">
        <v>3</v>
      </c>
      <c r="I696">
        <v>270.83999999999997</v>
      </c>
      <c r="J696">
        <v>0.1</v>
      </c>
      <c r="K696">
        <v>731.27</v>
      </c>
      <c r="L696">
        <v>510</v>
      </c>
      <c r="M696">
        <v>221.27</v>
      </c>
      <c r="N696" t="s">
        <v>21</v>
      </c>
      <c r="O696" t="s">
        <v>42</v>
      </c>
    </row>
    <row r="697" spans="1:15" x14ac:dyDescent="0.35">
      <c r="A697" t="s">
        <v>1009</v>
      </c>
      <c r="B697" s="1">
        <v>45914</v>
      </c>
      <c r="C697" t="s">
        <v>667</v>
      </c>
      <c r="D697" t="s">
        <v>25</v>
      </c>
      <c r="E697" t="s">
        <v>26</v>
      </c>
      <c r="F697" t="s">
        <v>19</v>
      </c>
      <c r="G697" t="s">
        <v>20</v>
      </c>
      <c r="H697">
        <v>1</v>
      </c>
      <c r="I697">
        <v>296.02999999999997</v>
      </c>
      <c r="J697">
        <v>0.1</v>
      </c>
      <c r="K697">
        <v>266.43</v>
      </c>
      <c r="L697">
        <v>170</v>
      </c>
      <c r="M697">
        <v>96.43</v>
      </c>
      <c r="N697" t="s">
        <v>47</v>
      </c>
      <c r="O697" t="s">
        <v>22</v>
      </c>
    </row>
    <row r="698" spans="1:15" x14ac:dyDescent="0.35">
      <c r="A698" t="s">
        <v>1010</v>
      </c>
      <c r="B698" s="1">
        <v>45812</v>
      </c>
      <c r="C698" t="s">
        <v>1011</v>
      </c>
      <c r="D698" t="s">
        <v>31</v>
      </c>
      <c r="E698" t="s">
        <v>32</v>
      </c>
      <c r="F698" t="s">
        <v>108</v>
      </c>
      <c r="G698" t="s">
        <v>37</v>
      </c>
      <c r="H698">
        <v>1</v>
      </c>
      <c r="I698">
        <v>444.8</v>
      </c>
      <c r="J698">
        <v>0</v>
      </c>
      <c r="K698">
        <v>444.8</v>
      </c>
      <c r="L698">
        <v>280</v>
      </c>
      <c r="M698">
        <v>164.8</v>
      </c>
      <c r="N698" t="s">
        <v>21</v>
      </c>
      <c r="O698" t="s">
        <v>42</v>
      </c>
    </row>
    <row r="699" spans="1:15" x14ac:dyDescent="0.35">
      <c r="A699" t="s">
        <v>1012</v>
      </c>
      <c r="B699" s="1">
        <v>45977</v>
      </c>
      <c r="C699" t="s">
        <v>1013</v>
      </c>
      <c r="D699" t="s">
        <v>31</v>
      </c>
      <c r="E699" t="s">
        <v>32</v>
      </c>
      <c r="F699" t="s">
        <v>19</v>
      </c>
      <c r="G699" t="s">
        <v>20</v>
      </c>
      <c r="H699">
        <v>1</v>
      </c>
      <c r="I699">
        <v>262.14</v>
      </c>
      <c r="J699">
        <v>0.05</v>
      </c>
      <c r="K699">
        <v>249.03</v>
      </c>
      <c r="L699">
        <v>170</v>
      </c>
      <c r="M699">
        <v>79.03</v>
      </c>
      <c r="N699" t="s">
        <v>33</v>
      </c>
      <c r="O699" t="s">
        <v>28</v>
      </c>
    </row>
    <row r="700" spans="1:15" x14ac:dyDescent="0.35">
      <c r="A700" t="s">
        <v>1014</v>
      </c>
      <c r="B700" s="1">
        <v>45906</v>
      </c>
      <c r="C700" t="s">
        <v>95</v>
      </c>
      <c r="D700" t="s">
        <v>50</v>
      </c>
      <c r="E700" t="s">
        <v>32</v>
      </c>
      <c r="F700" t="s">
        <v>27</v>
      </c>
      <c r="G700" t="s">
        <v>20</v>
      </c>
      <c r="H700">
        <v>3</v>
      </c>
      <c r="I700">
        <v>199.1</v>
      </c>
      <c r="J700">
        <v>0.05</v>
      </c>
      <c r="K700">
        <v>567.42999999999995</v>
      </c>
      <c r="L700">
        <v>330</v>
      </c>
      <c r="M700">
        <v>237.43</v>
      </c>
      <c r="N700" t="s">
        <v>21</v>
      </c>
      <c r="O700" t="s">
        <v>28</v>
      </c>
    </row>
    <row r="701" spans="1:15" x14ac:dyDescent="0.35">
      <c r="A701" t="s">
        <v>1015</v>
      </c>
      <c r="B701" s="1">
        <v>45999</v>
      </c>
      <c r="C701" t="s">
        <v>407</v>
      </c>
      <c r="D701" t="s">
        <v>45</v>
      </c>
      <c r="E701" t="s">
        <v>46</v>
      </c>
      <c r="F701" t="s">
        <v>51</v>
      </c>
      <c r="G701" t="s">
        <v>37</v>
      </c>
      <c r="H701">
        <v>2</v>
      </c>
      <c r="I701">
        <v>244.39</v>
      </c>
      <c r="J701">
        <v>0</v>
      </c>
      <c r="K701">
        <v>488.78</v>
      </c>
      <c r="L701">
        <v>300</v>
      </c>
      <c r="M701">
        <v>188.78</v>
      </c>
      <c r="N701" t="s">
        <v>21</v>
      </c>
      <c r="O701" t="s">
        <v>22</v>
      </c>
    </row>
    <row r="702" spans="1:15" x14ac:dyDescent="0.35">
      <c r="A702" t="s">
        <v>1016</v>
      </c>
      <c r="B702" s="1">
        <v>45730</v>
      </c>
      <c r="C702" t="s">
        <v>77</v>
      </c>
      <c r="D702" t="s">
        <v>60</v>
      </c>
      <c r="E702" t="s">
        <v>61</v>
      </c>
      <c r="F702" t="s">
        <v>51</v>
      </c>
      <c r="G702" t="s">
        <v>37</v>
      </c>
      <c r="H702">
        <v>6</v>
      </c>
      <c r="I702">
        <v>241.75</v>
      </c>
      <c r="J702">
        <v>0.15</v>
      </c>
      <c r="K702">
        <v>1232.92</v>
      </c>
      <c r="L702">
        <v>900</v>
      </c>
      <c r="M702">
        <v>332.92</v>
      </c>
      <c r="N702" t="s">
        <v>33</v>
      </c>
      <c r="O702" t="s">
        <v>42</v>
      </c>
    </row>
    <row r="703" spans="1:15" x14ac:dyDescent="0.35">
      <c r="A703" t="s">
        <v>1017</v>
      </c>
      <c r="B703" s="1">
        <v>45878</v>
      </c>
      <c r="C703" t="s">
        <v>1018</v>
      </c>
      <c r="D703" t="s">
        <v>50</v>
      </c>
      <c r="E703" t="s">
        <v>32</v>
      </c>
      <c r="F703" t="s">
        <v>108</v>
      </c>
      <c r="G703" t="s">
        <v>37</v>
      </c>
      <c r="H703">
        <v>1</v>
      </c>
      <c r="I703">
        <v>405.89</v>
      </c>
      <c r="J703">
        <v>0</v>
      </c>
      <c r="K703">
        <v>405.89</v>
      </c>
      <c r="L703">
        <v>280</v>
      </c>
      <c r="M703">
        <v>125.89</v>
      </c>
      <c r="N703" t="s">
        <v>38</v>
      </c>
      <c r="O703" t="s">
        <v>22</v>
      </c>
    </row>
    <row r="704" spans="1:15" x14ac:dyDescent="0.35">
      <c r="A704" t="s">
        <v>1019</v>
      </c>
      <c r="B704" s="1">
        <v>45786</v>
      </c>
      <c r="C704" t="s">
        <v>410</v>
      </c>
      <c r="D704" t="s">
        <v>45</v>
      </c>
      <c r="E704" t="s">
        <v>46</v>
      </c>
      <c r="F704" t="s">
        <v>108</v>
      </c>
      <c r="G704" t="s">
        <v>37</v>
      </c>
      <c r="H704">
        <v>2</v>
      </c>
      <c r="I704">
        <v>416.94</v>
      </c>
      <c r="J704">
        <v>0</v>
      </c>
      <c r="K704">
        <v>833.88</v>
      </c>
      <c r="L704">
        <v>560</v>
      </c>
      <c r="M704">
        <v>273.88</v>
      </c>
      <c r="N704" t="s">
        <v>21</v>
      </c>
      <c r="O704" t="s">
        <v>42</v>
      </c>
    </row>
    <row r="705" spans="1:15" x14ac:dyDescent="0.35">
      <c r="A705" t="s">
        <v>1020</v>
      </c>
      <c r="B705" s="1">
        <v>45971</v>
      </c>
      <c r="C705" t="s">
        <v>288</v>
      </c>
      <c r="D705" t="s">
        <v>66</v>
      </c>
      <c r="E705" t="s">
        <v>61</v>
      </c>
      <c r="F705" t="s">
        <v>108</v>
      </c>
      <c r="G705" t="s">
        <v>37</v>
      </c>
      <c r="H705">
        <v>4</v>
      </c>
      <c r="I705">
        <v>439.81</v>
      </c>
      <c r="J705">
        <v>0</v>
      </c>
      <c r="K705">
        <v>1759.24</v>
      </c>
      <c r="L705">
        <v>1120</v>
      </c>
      <c r="M705">
        <v>639.24</v>
      </c>
      <c r="N705" t="s">
        <v>21</v>
      </c>
      <c r="O705" t="s">
        <v>42</v>
      </c>
    </row>
    <row r="706" spans="1:15" x14ac:dyDescent="0.35">
      <c r="A706" t="s">
        <v>1021</v>
      </c>
      <c r="B706" s="1">
        <v>45866</v>
      </c>
      <c r="C706" t="s">
        <v>956</v>
      </c>
      <c r="D706" t="s">
        <v>58</v>
      </c>
      <c r="E706" t="s">
        <v>18</v>
      </c>
      <c r="F706" t="s">
        <v>41</v>
      </c>
      <c r="G706" t="s">
        <v>37</v>
      </c>
      <c r="H706">
        <v>1</v>
      </c>
      <c r="I706">
        <v>830.7</v>
      </c>
      <c r="J706">
        <v>0.15</v>
      </c>
      <c r="K706">
        <v>706.1</v>
      </c>
      <c r="L706">
        <v>600</v>
      </c>
      <c r="M706">
        <v>106.1</v>
      </c>
      <c r="N706" t="s">
        <v>38</v>
      </c>
      <c r="O706" t="s">
        <v>28</v>
      </c>
    </row>
    <row r="707" spans="1:15" x14ac:dyDescent="0.35">
      <c r="A707" t="s">
        <v>1022</v>
      </c>
      <c r="B707" s="1">
        <v>45958</v>
      </c>
      <c r="C707" t="s">
        <v>685</v>
      </c>
      <c r="D707" t="s">
        <v>66</v>
      </c>
      <c r="E707" t="s">
        <v>61</v>
      </c>
      <c r="F707" t="s">
        <v>19</v>
      </c>
      <c r="G707" t="s">
        <v>20</v>
      </c>
      <c r="H707">
        <v>1</v>
      </c>
      <c r="I707">
        <v>288.38</v>
      </c>
      <c r="J707">
        <v>0</v>
      </c>
      <c r="K707">
        <v>288.38</v>
      </c>
      <c r="L707">
        <v>170</v>
      </c>
      <c r="M707">
        <v>118.38</v>
      </c>
      <c r="N707" t="s">
        <v>21</v>
      </c>
      <c r="O707" t="s">
        <v>42</v>
      </c>
    </row>
    <row r="708" spans="1:15" x14ac:dyDescent="0.35">
      <c r="A708" t="s">
        <v>1023</v>
      </c>
      <c r="B708" s="1">
        <v>45864</v>
      </c>
      <c r="C708" t="s">
        <v>392</v>
      </c>
      <c r="D708" t="s">
        <v>25</v>
      </c>
      <c r="E708" t="s">
        <v>26</v>
      </c>
      <c r="F708" t="s">
        <v>51</v>
      </c>
      <c r="G708" t="s">
        <v>37</v>
      </c>
      <c r="H708">
        <v>3</v>
      </c>
      <c r="I708">
        <v>251.55</v>
      </c>
      <c r="J708">
        <v>0.05</v>
      </c>
      <c r="K708">
        <v>716.92</v>
      </c>
      <c r="L708">
        <v>450</v>
      </c>
      <c r="M708">
        <v>266.92</v>
      </c>
      <c r="N708" t="s">
        <v>47</v>
      </c>
      <c r="O708" t="s">
        <v>28</v>
      </c>
    </row>
    <row r="709" spans="1:15" x14ac:dyDescent="0.35">
      <c r="A709" t="s">
        <v>1024</v>
      </c>
      <c r="B709" s="1">
        <v>45732</v>
      </c>
      <c r="C709" t="s">
        <v>218</v>
      </c>
      <c r="D709" t="s">
        <v>66</v>
      </c>
      <c r="E709" t="s">
        <v>61</v>
      </c>
      <c r="F709" t="s">
        <v>108</v>
      </c>
      <c r="G709" t="s">
        <v>37</v>
      </c>
      <c r="H709">
        <v>2</v>
      </c>
      <c r="I709">
        <v>429.83</v>
      </c>
      <c r="J709">
        <v>0</v>
      </c>
      <c r="K709">
        <v>859.66</v>
      </c>
      <c r="L709">
        <v>560</v>
      </c>
      <c r="M709">
        <v>299.66000000000003</v>
      </c>
      <c r="N709" t="s">
        <v>21</v>
      </c>
      <c r="O709" t="s">
        <v>22</v>
      </c>
    </row>
    <row r="710" spans="1:15" x14ac:dyDescent="0.35">
      <c r="A710" t="s">
        <v>1025</v>
      </c>
      <c r="B710" s="1">
        <v>45818</v>
      </c>
      <c r="C710" t="s">
        <v>383</v>
      </c>
      <c r="D710" t="s">
        <v>50</v>
      </c>
      <c r="E710" t="s">
        <v>32</v>
      </c>
      <c r="F710" t="s">
        <v>27</v>
      </c>
      <c r="G710" t="s">
        <v>20</v>
      </c>
      <c r="H710">
        <v>3</v>
      </c>
      <c r="I710">
        <v>184.67</v>
      </c>
      <c r="J710">
        <v>0.15</v>
      </c>
      <c r="K710">
        <v>470.91</v>
      </c>
      <c r="L710">
        <v>330</v>
      </c>
      <c r="M710">
        <v>140.91</v>
      </c>
      <c r="N710" t="s">
        <v>47</v>
      </c>
      <c r="O710" t="s">
        <v>22</v>
      </c>
    </row>
    <row r="711" spans="1:15" x14ac:dyDescent="0.35">
      <c r="A711" t="s">
        <v>1026</v>
      </c>
      <c r="B711" s="1">
        <v>45685</v>
      </c>
      <c r="C711" t="s">
        <v>647</v>
      </c>
      <c r="D711" t="s">
        <v>50</v>
      </c>
      <c r="E711" t="s">
        <v>32</v>
      </c>
      <c r="F711" t="s">
        <v>41</v>
      </c>
      <c r="G711" t="s">
        <v>37</v>
      </c>
      <c r="H711">
        <v>2</v>
      </c>
      <c r="I711">
        <v>897.92</v>
      </c>
      <c r="J711">
        <v>0</v>
      </c>
      <c r="K711">
        <v>1795.84</v>
      </c>
      <c r="L711">
        <v>1200</v>
      </c>
      <c r="M711">
        <v>595.84</v>
      </c>
      <c r="N711" t="s">
        <v>47</v>
      </c>
      <c r="O711" t="s">
        <v>28</v>
      </c>
    </row>
    <row r="712" spans="1:15" x14ac:dyDescent="0.35">
      <c r="A712" t="s">
        <v>1027</v>
      </c>
      <c r="B712" s="1">
        <v>45740</v>
      </c>
      <c r="C712" t="s">
        <v>341</v>
      </c>
      <c r="D712" t="s">
        <v>60</v>
      </c>
      <c r="E712" t="s">
        <v>61</v>
      </c>
      <c r="F712" t="s">
        <v>19</v>
      </c>
      <c r="G712" t="s">
        <v>20</v>
      </c>
      <c r="H712">
        <v>1</v>
      </c>
      <c r="I712">
        <v>284.25</v>
      </c>
      <c r="J712">
        <v>0</v>
      </c>
      <c r="K712">
        <v>284.25</v>
      </c>
      <c r="L712">
        <v>170</v>
      </c>
      <c r="M712">
        <v>114.25</v>
      </c>
      <c r="N712" t="s">
        <v>21</v>
      </c>
      <c r="O712" t="s">
        <v>28</v>
      </c>
    </row>
    <row r="713" spans="1:15" x14ac:dyDescent="0.35">
      <c r="A713" t="s">
        <v>1028</v>
      </c>
      <c r="B713" s="1">
        <v>45949</v>
      </c>
      <c r="C713" t="s">
        <v>1029</v>
      </c>
      <c r="D713" t="s">
        <v>17</v>
      </c>
      <c r="E713" t="s">
        <v>18</v>
      </c>
      <c r="F713" t="s">
        <v>19</v>
      </c>
      <c r="G713" t="s">
        <v>20</v>
      </c>
      <c r="H713">
        <v>1</v>
      </c>
      <c r="I713">
        <v>274.33</v>
      </c>
      <c r="J713">
        <v>0</v>
      </c>
      <c r="K713">
        <v>274.33</v>
      </c>
      <c r="L713">
        <v>170</v>
      </c>
      <c r="M713">
        <v>104.33</v>
      </c>
      <c r="N713" t="s">
        <v>21</v>
      </c>
      <c r="O713" t="s">
        <v>28</v>
      </c>
    </row>
    <row r="714" spans="1:15" x14ac:dyDescent="0.35">
      <c r="A714" t="s">
        <v>1030</v>
      </c>
      <c r="B714" s="1">
        <v>45704</v>
      </c>
      <c r="C714" t="s">
        <v>632</v>
      </c>
      <c r="D714" t="s">
        <v>45</v>
      </c>
      <c r="E714" t="s">
        <v>46</v>
      </c>
      <c r="F714" t="s">
        <v>19</v>
      </c>
      <c r="G714" t="s">
        <v>20</v>
      </c>
      <c r="H714">
        <v>1</v>
      </c>
      <c r="I714">
        <v>293.10000000000002</v>
      </c>
      <c r="J714">
        <v>0.05</v>
      </c>
      <c r="K714">
        <v>278.44</v>
      </c>
      <c r="L714">
        <v>170</v>
      </c>
      <c r="M714">
        <v>108.44</v>
      </c>
      <c r="N714" t="s">
        <v>47</v>
      </c>
      <c r="O714" t="s">
        <v>28</v>
      </c>
    </row>
    <row r="715" spans="1:15" x14ac:dyDescent="0.35">
      <c r="A715" t="s">
        <v>1031</v>
      </c>
      <c r="B715" s="1">
        <v>45659</v>
      </c>
      <c r="C715" t="s">
        <v>1032</v>
      </c>
      <c r="D715" t="s">
        <v>17</v>
      </c>
      <c r="E715" t="s">
        <v>18</v>
      </c>
      <c r="F715" t="s">
        <v>27</v>
      </c>
      <c r="G715" t="s">
        <v>20</v>
      </c>
      <c r="H715">
        <v>3</v>
      </c>
      <c r="I715">
        <v>204.84</v>
      </c>
      <c r="J715">
        <v>0.2</v>
      </c>
      <c r="K715">
        <v>491.62</v>
      </c>
      <c r="L715">
        <v>330</v>
      </c>
      <c r="M715">
        <v>161.62</v>
      </c>
      <c r="N715" t="s">
        <v>21</v>
      </c>
      <c r="O715" t="s">
        <v>42</v>
      </c>
    </row>
    <row r="716" spans="1:15" x14ac:dyDescent="0.35">
      <c r="A716" t="s">
        <v>1033</v>
      </c>
      <c r="B716" s="1">
        <v>45900</v>
      </c>
      <c r="C716" t="s">
        <v>877</v>
      </c>
      <c r="D716" t="s">
        <v>60</v>
      </c>
      <c r="E716" t="s">
        <v>61</v>
      </c>
      <c r="F716" t="s">
        <v>36</v>
      </c>
      <c r="G716" t="s">
        <v>37</v>
      </c>
      <c r="H716">
        <v>4</v>
      </c>
      <c r="I716">
        <v>120.99</v>
      </c>
      <c r="J716">
        <v>0.1</v>
      </c>
      <c r="K716">
        <v>435.56</v>
      </c>
      <c r="L716">
        <v>240</v>
      </c>
      <c r="M716">
        <v>195.56</v>
      </c>
      <c r="N716" t="s">
        <v>47</v>
      </c>
      <c r="O716" t="s">
        <v>28</v>
      </c>
    </row>
    <row r="717" spans="1:15" x14ac:dyDescent="0.35">
      <c r="A717" t="s">
        <v>1034</v>
      </c>
      <c r="B717" s="1">
        <v>45994</v>
      </c>
      <c r="C717" t="s">
        <v>1035</v>
      </c>
      <c r="D717" t="s">
        <v>66</v>
      </c>
      <c r="E717" t="s">
        <v>61</v>
      </c>
      <c r="F717" t="s">
        <v>108</v>
      </c>
      <c r="G717" t="s">
        <v>37</v>
      </c>
      <c r="H717">
        <v>2</v>
      </c>
      <c r="I717">
        <v>451.02</v>
      </c>
      <c r="J717">
        <v>0.15</v>
      </c>
      <c r="K717">
        <v>766.73</v>
      </c>
      <c r="L717">
        <v>560</v>
      </c>
      <c r="M717">
        <v>206.73</v>
      </c>
      <c r="N717" t="s">
        <v>47</v>
      </c>
      <c r="O717" t="s">
        <v>28</v>
      </c>
    </row>
    <row r="718" spans="1:15" x14ac:dyDescent="0.35">
      <c r="A718" t="s">
        <v>1036</v>
      </c>
      <c r="B718" s="1">
        <v>45803</v>
      </c>
      <c r="C718" t="s">
        <v>354</v>
      </c>
      <c r="D718" t="s">
        <v>60</v>
      </c>
      <c r="E718" t="s">
        <v>61</v>
      </c>
      <c r="F718" t="s">
        <v>78</v>
      </c>
      <c r="G718" t="s">
        <v>20</v>
      </c>
      <c r="H718">
        <v>5</v>
      </c>
      <c r="I718">
        <v>339.21</v>
      </c>
      <c r="J718">
        <v>0.05</v>
      </c>
      <c r="K718">
        <v>1611.25</v>
      </c>
      <c r="L718">
        <v>1000</v>
      </c>
      <c r="M718">
        <v>611.25</v>
      </c>
      <c r="N718" t="s">
        <v>38</v>
      </c>
      <c r="O718" t="s">
        <v>28</v>
      </c>
    </row>
    <row r="719" spans="1:15" x14ac:dyDescent="0.35">
      <c r="A719" t="s">
        <v>1037</v>
      </c>
      <c r="B719" s="1">
        <v>46006</v>
      </c>
      <c r="C719" t="s">
        <v>358</v>
      </c>
      <c r="D719" t="s">
        <v>17</v>
      </c>
      <c r="E719" t="s">
        <v>18</v>
      </c>
      <c r="F719" t="s">
        <v>108</v>
      </c>
      <c r="G719" t="s">
        <v>37</v>
      </c>
      <c r="H719">
        <v>2</v>
      </c>
      <c r="I719">
        <v>448.04</v>
      </c>
      <c r="J719">
        <v>0</v>
      </c>
      <c r="K719">
        <v>896.08</v>
      </c>
      <c r="L719">
        <v>560</v>
      </c>
      <c r="M719">
        <v>336.08</v>
      </c>
      <c r="N719" t="s">
        <v>33</v>
      </c>
      <c r="O719" t="s">
        <v>22</v>
      </c>
    </row>
    <row r="720" spans="1:15" x14ac:dyDescent="0.35">
      <c r="A720" t="s">
        <v>1038</v>
      </c>
      <c r="B720" s="1">
        <v>46019</v>
      </c>
      <c r="C720" t="s">
        <v>143</v>
      </c>
      <c r="D720" t="s">
        <v>25</v>
      </c>
      <c r="E720" t="s">
        <v>26</v>
      </c>
      <c r="F720" t="s">
        <v>78</v>
      </c>
      <c r="G720" t="s">
        <v>20</v>
      </c>
      <c r="H720">
        <v>1</v>
      </c>
      <c r="I720">
        <v>320.14</v>
      </c>
      <c r="J720">
        <v>0.15</v>
      </c>
      <c r="K720">
        <v>272.12</v>
      </c>
      <c r="L720">
        <v>200</v>
      </c>
      <c r="M720">
        <v>72.12</v>
      </c>
      <c r="N720" t="s">
        <v>38</v>
      </c>
      <c r="O720" t="s">
        <v>28</v>
      </c>
    </row>
    <row r="721" spans="1:15" x14ac:dyDescent="0.35">
      <c r="A721" t="s">
        <v>1039</v>
      </c>
      <c r="B721" s="1">
        <v>46010</v>
      </c>
      <c r="C721" t="s">
        <v>446</v>
      </c>
      <c r="D721" t="s">
        <v>17</v>
      </c>
      <c r="E721" t="s">
        <v>18</v>
      </c>
      <c r="F721" t="s">
        <v>67</v>
      </c>
      <c r="G721" t="s">
        <v>37</v>
      </c>
      <c r="H721">
        <v>5</v>
      </c>
      <c r="I721">
        <v>79</v>
      </c>
      <c r="J721">
        <v>0.05</v>
      </c>
      <c r="K721">
        <v>375.25</v>
      </c>
      <c r="L721">
        <v>200</v>
      </c>
      <c r="M721">
        <v>175.25</v>
      </c>
      <c r="N721" t="s">
        <v>21</v>
      </c>
      <c r="O721" t="s">
        <v>28</v>
      </c>
    </row>
    <row r="722" spans="1:15" x14ac:dyDescent="0.35">
      <c r="A722" t="s">
        <v>1040</v>
      </c>
      <c r="B722" s="1">
        <v>45946</v>
      </c>
      <c r="C722" t="s">
        <v>270</v>
      </c>
      <c r="D722" t="s">
        <v>31</v>
      </c>
      <c r="E722" t="s">
        <v>32</v>
      </c>
      <c r="F722" t="s">
        <v>36</v>
      </c>
      <c r="G722" t="s">
        <v>37</v>
      </c>
      <c r="H722">
        <v>1</v>
      </c>
      <c r="I722">
        <v>126.73</v>
      </c>
      <c r="J722">
        <v>0</v>
      </c>
      <c r="K722">
        <v>126.73</v>
      </c>
      <c r="L722">
        <v>60</v>
      </c>
      <c r="M722">
        <v>66.73</v>
      </c>
      <c r="N722" t="s">
        <v>47</v>
      </c>
      <c r="O722" t="s">
        <v>28</v>
      </c>
    </row>
    <row r="723" spans="1:15" x14ac:dyDescent="0.35">
      <c r="A723" t="s">
        <v>1041</v>
      </c>
      <c r="B723" s="1">
        <v>45725</v>
      </c>
      <c r="C723" t="s">
        <v>1042</v>
      </c>
      <c r="D723" t="s">
        <v>60</v>
      </c>
      <c r="E723" t="s">
        <v>61</v>
      </c>
      <c r="F723" t="s">
        <v>36</v>
      </c>
      <c r="G723" t="s">
        <v>37</v>
      </c>
      <c r="H723">
        <v>1</v>
      </c>
      <c r="I723">
        <v>126.81</v>
      </c>
      <c r="J723">
        <v>0.2</v>
      </c>
      <c r="K723">
        <v>101.45</v>
      </c>
      <c r="L723">
        <v>60</v>
      </c>
      <c r="M723">
        <v>41.45</v>
      </c>
      <c r="N723" t="s">
        <v>21</v>
      </c>
      <c r="O723" t="s">
        <v>28</v>
      </c>
    </row>
    <row r="724" spans="1:15" x14ac:dyDescent="0.35">
      <c r="A724" t="s">
        <v>1043</v>
      </c>
      <c r="B724" s="1">
        <v>45721</v>
      </c>
      <c r="C724" t="s">
        <v>57</v>
      </c>
      <c r="D724" t="s">
        <v>45</v>
      </c>
      <c r="E724" t="s">
        <v>46</v>
      </c>
      <c r="F724" t="s">
        <v>67</v>
      </c>
      <c r="G724" t="s">
        <v>37</v>
      </c>
      <c r="H724">
        <v>4</v>
      </c>
      <c r="I724">
        <v>74.23</v>
      </c>
      <c r="J724">
        <v>0</v>
      </c>
      <c r="K724">
        <v>296.92</v>
      </c>
      <c r="L724">
        <v>160</v>
      </c>
      <c r="M724">
        <v>136.91999999999999</v>
      </c>
      <c r="N724" t="s">
        <v>21</v>
      </c>
      <c r="O724" t="s">
        <v>42</v>
      </c>
    </row>
    <row r="725" spans="1:15" x14ac:dyDescent="0.35">
      <c r="A725" t="s">
        <v>1044</v>
      </c>
      <c r="B725" s="1">
        <v>45969</v>
      </c>
      <c r="C725" t="s">
        <v>761</v>
      </c>
      <c r="D725" t="s">
        <v>58</v>
      </c>
      <c r="E725" t="s">
        <v>18</v>
      </c>
      <c r="F725" t="s">
        <v>51</v>
      </c>
      <c r="G725" t="s">
        <v>37</v>
      </c>
      <c r="H725">
        <v>2</v>
      </c>
      <c r="I725">
        <v>230.21</v>
      </c>
      <c r="J725">
        <v>0.05</v>
      </c>
      <c r="K725">
        <v>437.4</v>
      </c>
      <c r="L725">
        <v>300</v>
      </c>
      <c r="M725">
        <v>137.4</v>
      </c>
      <c r="N725" t="s">
        <v>47</v>
      </c>
      <c r="O725" t="s">
        <v>22</v>
      </c>
    </row>
    <row r="726" spans="1:15" x14ac:dyDescent="0.35">
      <c r="A726" t="s">
        <v>1045</v>
      </c>
      <c r="B726" s="1">
        <v>45683</v>
      </c>
      <c r="C726" t="s">
        <v>660</v>
      </c>
      <c r="D726" t="s">
        <v>60</v>
      </c>
      <c r="E726" t="s">
        <v>61</v>
      </c>
      <c r="F726" t="s">
        <v>78</v>
      </c>
      <c r="G726" t="s">
        <v>20</v>
      </c>
      <c r="H726">
        <v>4</v>
      </c>
      <c r="I726">
        <v>325.24</v>
      </c>
      <c r="J726">
        <v>0</v>
      </c>
      <c r="K726">
        <v>1300.96</v>
      </c>
      <c r="L726">
        <v>800</v>
      </c>
      <c r="M726">
        <v>500.96</v>
      </c>
      <c r="N726" t="s">
        <v>38</v>
      </c>
      <c r="O726" t="s">
        <v>42</v>
      </c>
    </row>
    <row r="727" spans="1:15" x14ac:dyDescent="0.35">
      <c r="A727" t="s">
        <v>1046</v>
      </c>
      <c r="B727" s="1">
        <v>45668</v>
      </c>
      <c r="C727" t="s">
        <v>466</v>
      </c>
      <c r="D727" t="s">
        <v>45</v>
      </c>
      <c r="E727" t="s">
        <v>46</v>
      </c>
      <c r="F727" t="s">
        <v>108</v>
      </c>
      <c r="G727" t="s">
        <v>37</v>
      </c>
      <c r="H727">
        <v>2</v>
      </c>
      <c r="I727">
        <v>404.11</v>
      </c>
      <c r="J727">
        <v>0</v>
      </c>
      <c r="K727">
        <v>808.22</v>
      </c>
      <c r="L727">
        <v>560</v>
      </c>
      <c r="M727">
        <v>248.22</v>
      </c>
      <c r="N727" t="s">
        <v>33</v>
      </c>
      <c r="O727" t="s">
        <v>28</v>
      </c>
    </row>
    <row r="728" spans="1:15" x14ac:dyDescent="0.35">
      <c r="A728" t="s">
        <v>1047</v>
      </c>
      <c r="B728" s="1">
        <v>45771</v>
      </c>
      <c r="C728" t="s">
        <v>286</v>
      </c>
      <c r="D728" t="s">
        <v>58</v>
      </c>
      <c r="E728" t="s">
        <v>18</v>
      </c>
      <c r="F728" t="s">
        <v>51</v>
      </c>
      <c r="G728" t="s">
        <v>37</v>
      </c>
      <c r="H728">
        <v>1</v>
      </c>
      <c r="I728">
        <v>255.52</v>
      </c>
      <c r="J728">
        <v>0.05</v>
      </c>
      <c r="K728">
        <v>242.74</v>
      </c>
      <c r="L728">
        <v>150</v>
      </c>
      <c r="M728">
        <v>92.74</v>
      </c>
      <c r="N728" t="s">
        <v>21</v>
      </c>
      <c r="O728" t="s">
        <v>42</v>
      </c>
    </row>
    <row r="729" spans="1:15" x14ac:dyDescent="0.35">
      <c r="A729" t="s">
        <v>1048</v>
      </c>
      <c r="B729" s="1">
        <v>45932</v>
      </c>
      <c r="C729" t="s">
        <v>147</v>
      </c>
      <c r="D729" t="s">
        <v>50</v>
      </c>
      <c r="E729" t="s">
        <v>32</v>
      </c>
      <c r="F729" t="s">
        <v>36</v>
      </c>
      <c r="G729" t="s">
        <v>37</v>
      </c>
      <c r="H729">
        <v>4</v>
      </c>
      <c r="I729">
        <v>114.13</v>
      </c>
      <c r="J729">
        <v>0</v>
      </c>
      <c r="K729">
        <v>456.52</v>
      </c>
      <c r="L729">
        <v>240</v>
      </c>
      <c r="M729">
        <v>216.52</v>
      </c>
      <c r="N729" t="s">
        <v>47</v>
      </c>
      <c r="O729" t="s">
        <v>28</v>
      </c>
    </row>
    <row r="730" spans="1:15" x14ac:dyDescent="0.35">
      <c r="A730" t="s">
        <v>1049</v>
      </c>
      <c r="B730" s="1">
        <v>45827</v>
      </c>
      <c r="C730" t="s">
        <v>492</v>
      </c>
      <c r="D730" t="s">
        <v>50</v>
      </c>
      <c r="E730" t="s">
        <v>32</v>
      </c>
      <c r="F730" t="s">
        <v>51</v>
      </c>
      <c r="G730" t="s">
        <v>37</v>
      </c>
      <c r="H730">
        <v>3</v>
      </c>
      <c r="I730">
        <v>255.39</v>
      </c>
      <c r="J730">
        <v>0</v>
      </c>
      <c r="K730">
        <v>766.17</v>
      </c>
      <c r="L730">
        <v>450</v>
      </c>
      <c r="M730">
        <v>316.17</v>
      </c>
      <c r="N730" t="s">
        <v>33</v>
      </c>
      <c r="O730" t="s">
        <v>28</v>
      </c>
    </row>
    <row r="731" spans="1:15" x14ac:dyDescent="0.35">
      <c r="A731" t="s">
        <v>1050</v>
      </c>
      <c r="B731" s="1">
        <v>46009</v>
      </c>
      <c r="C731" t="s">
        <v>635</v>
      </c>
      <c r="D731" t="s">
        <v>17</v>
      </c>
      <c r="E731" t="s">
        <v>18</v>
      </c>
      <c r="F731" t="s">
        <v>27</v>
      </c>
      <c r="G731" t="s">
        <v>20</v>
      </c>
      <c r="H731">
        <v>1</v>
      </c>
      <c r="I731">
        <v>201</v>
      </c>
      <c r="J731">
        <v>0.05</v>
      </c>
      <c r="K731">
        <v>190.95</v>
      </c>
      <c r="L731">
        <v>110</v>
      </c>
      <c r="M731">
        <v>80.95</v>
      </c>
      <c r="N731" t="s">
        <v>38</v>
      </c>
      <c r="O731" t="s">
        <v>28</v>
      </c>
    </row>
    <row r="732" spans="1:15" x14ac:dyDescent="0.35">
      <c r="A732" t="s">
        <v>1051</v>
      </c>
      <c r="B732" s="1">
        <v>45764</v>
      </c>
      <c r="C732" t="s">
        <v>1052</v>
      </c>
      <c r="D732" t="s">
        <v>45</v>
      </c>
      <c r="E732" t="s">
        <v>46</v>
      </c>
      <c r="F732" t="s">
        <v>41</v>
      </c>
      <c r="G732" t="s">
        <v>37</v>
      </c>
      <c r="H732">
        <v>2</v>
      </c>
      <c r="I732">
        <v>876.76</v>
      </c>
      <c r="J732">
        <v>0</v>
      </c>
      <c r="K732">
        <v>1753.52</v>
      </c>
      <c r="L732">
        <v>1200</v>
      </c>
      <c r="M732">
        <v>553.52</v>
      </c>
      <c r="N732" t="s">
        <v>33</v>
      </c>
      <c r="O732" t="s">
        <v>28</v>
      </c>
    </row>
    <row r="733" spans="1:15" x14ac:dyDescent="0.35">
      <c r="A733" t="s">
        <v>1053</v>
      </c>
      <c r="B733" s="1">
        <v>45898</v>
      </c>
      <c r="C733" t="s">
        <v>486</v>
      </c>
      <c r="D733" t="s">
        <v>31</v>
      </c>
      <c r="E733" t="s">
        <v>32</v>
      </c>
      <c r="F733" t="s">
        <v>108</v>
      </c>
      <c r="G733" t="s">
        <v>37</v>
      </c>
      <c r="H733">
        <v>5</v>
      </c>
      <c r="I733">
        <v>423.63</v>
      </c>
      <c r="J733">
        <v>0.1</v>
      </c>
      <c r="K733">
        <v>1906.34</v>
      </c>
      <c r="L733">
        <v>1400</v>
      </c>
      <c r="M733">
        <v>506.34</v>
      </c>
      <c r="N733" t="s">
        <v>38</v>
      </c>
      <c r="O733" t="s">
        <v>42</v>
      </c>
    </row>
    <row r="734" spans="1:15" x14ac:dyDescent="0.35">
      <c r="A734" t="s">
        <v>1054</v>
      </c>
      <c r="B734" s="1">
        <v>45930</v>
      </c>
      <c r="C734" t="s">
        <v>516</v>
      </c>
      <c r="D734" t="s">
        <v>45</v>
      </c>
      <c r="E734" t="s">
        <v>46</v>
      </c>
      <c r="F734" t="s">
        <v>78</v>
      </c>
      <c r="G734" t="s">
        <v>20</v>
      </c>
      <c r="H734">
        <v>1</v>
      </c>
      <c r="I734">
        <v>322.92</v>
      </c>
      <c r="J734">
        <v>0.15</v>
      </c>
      <c r="K734">
        <v>274.48</v>
      </c>
      <c r="L734">
        <v>200</v>
      </c>
      <c r="M734">
        <v>74.48</v>
      </c>
      <c r="N734" t="s">
        <v>47</v>
      </c>
      <c r="O734" t="s">
        <v>42</v>
      </c>
    </row>
    <row r="735" spans="1:15" x14ac:dyDescent="0.35">
      <c r="A735" t="s">
        <v>1055</v>
      </c>
      <c r="B735" s="1">
        <v>45935</v>
      </c>
      <c r="C735" t="s">
        <v>270</v>
      </c>
      <c r="D735" t="s">
        <v>58</v>
      </c>
      <c r="E735" t="s">
        <v>18</v>
      </c>
      <c r="F735" t="s">
        <v>51</v>
      </c>
      <c r="G735" t="s">
        <v>37</v>
      </c>
      <c r="H735">
        <v>2</v>
      </c>
      <c r="I735">
        <v>257.01</v>
      </c>
      <c r="J735">
        <v>0</v>
      </c>
      <c r="K735">
        <v>514.02</v>
      </c>
      <c r="L735">
        <v>300</v>
      </c>
      <c r="M735">
        <v>214.02</v>
      </c>
      <c r="N735" t="s">
        <v>38</v>
      </c>
      <c r="O735" t="s">
        <v>28</v>
      </c>
    </row>
    <row r="736" spans="1:15" x14ac:dyDescent="0.35">
      <c r="A736" t="s">
        <v>1056</v>
      </c>
      <c r="B736" s="1">
        <v>45736</v>
      </c>
      <c r="C736" t="s">
        <v>356</v>
      </c>
      <c r="D736" t="s">
        <v>17</v>
      </c>
      <c r="E736" t="s">
        <v>18</v>
      </c>
      <c r="F736" t="s">
        <v>108</v>
      </c>
      <c r="G736" t="s">
        <v>37</v>
      </c>
      <c r="H736">
        <v>4</v>
      </c>
      <c r="I736">
        <v>449.92</v>
      </c>
      <c r="J736">
        <v>0.15</v>
      </c>
      <c r="K736">
        <v>1529.73</v>
      </c>
      <c r="L736">
        <v>1120</v>
      </c>
      <c r="M736">
        <v>409.73</v>
      </c>
      <c r="N736" t="s">
        <v>47</v>
      </c>
      <c r="O736" t="s">
        <v>28</v>
      </c>
    </row>
    <row r="737" spans="1:15" x14ac:dyDescent="0.35">
      <c r="A737" t="s">
        <v>1057</v>
      </c>
      <c r="B737" s="1">
        <v>45983</v>
      </c>
      <c r="C737" t="s">
        <v>75</v>
      </c>
      <c r="D737" t="s">
        <v>45</v>
      </c>
      <c r="E737" t="s">
        <v>46</v>
      </c>
      <c r="F737" t="s">
        <v>27</v>
      </c>
      <c r="G737" t="s">
        <v>20</v>
      </c>
      <c r="H737">
        <v>3</v>
      </c>
      <c r="I737">
        <v>191.12</v>
      </c>
      <c r="J737">
        <v>0.1</v>
      </c>
      <c r="K737">
        <v>516.02</v>
      </c>
      <c r="L737">
        <v>330</v>
      </c>
      <c r="M737">
        <v>186.02</v>
      </c>
      <c r="N737" t="s">
        <v>33</v>
      </c>
      <c r="O737" t="s">
        <v>22</v>
      </c>
    </row>
    <row r="738" spans="1:15" x14ac:dyDescent="0.35">
      <c r="A738" t="s">
        <v>1058</v>
      </c>
      <c r="B738" s="1">
        <v>45778</v>
      </c>
      <c r="C738" t="s">
        <v>332</v>
      </c>
      <c r="D738" t="s">
        <v>31</v>
      </c>
      <c r="E738" t="s">
        <v>32</v>
      </c>
      <c r="F738" t="s">
        <v>67</v>
      </c>
      <c r="G738" t="s">
        <v>37</v>
      </c>
      <c r="H738">
        <v>4</v>
      </c>
      <c r="I738">
        <v>77.239999999999995</v>
      </c>
      <c r="J738">
        <v>0.05</v>
      </c>
      <c r="K738">
        <v>293.51</v>
      </c>
      <c r="L738">
        <v>160</v>
      </c>
      <c r="M738">
        <v>133.51</v>
      </c>
      <c r="N738" t="s">
        <v>21</v>
      </c>
      <c r="O738" t="s">
        <v>28</v>
      </c>
    </row>
    <row r="739" spans="1:15" x14ac:dyDescent="0.35">
      <c r="A739" t="s">
        <v>1059</v>
      </c>
      <c r="B739" s="1">
        <v>45830</v>
      </c>
      <c r="C739" t="s">
        <v>678</v>
      </c>
      <c r="D739" t="s">
        <v>25</v>
      </c>
      <c r="E739" t="s">
        <v>26</v>
      </c>
      <c r="F739" t="s">
        <v>27</v>
      </c>
      <c r="G739" t="s">
        <v>20</v>
      </c>
      <c r="H739">
        <v>1</v>
      </c>
      <c r="I739">
        <v>205.1</v>
      </c>
      <c r="J739">
        <v>0.05</v>
      </c>
      <c r="K739">
        <v>194.84</v>
      </c>
      <c r="L739">
        <v>110</v>
      </c>
      <c r="M739">
        <v>84.84</v>
      </c>
      <c r="N739" t="s">
        <v>21</v>
      </c>
      <c r="O739" t="s">
        <v>28</v>
      </c>
    </row>
    <row r="740" spans="1:15" x14ac:dyDescent="0.35">
      <c r="A740" t="s">
        <v>1060</v>
      </c>
      <c r="B740" s="1">
        <v>45973</v>
      </c>
      <c r="C740" t="s">
        <v>549</v>
      </c>
      <c r="D740" t="s">
        <v>45</v>
      </c>
      <c r="E740" t="s">
        <v>46</v>
      </c>
      <c r="F740" t="s">
        <v>108</v>
      </c>
      <c r="G740" t="s">
        <v>37</v>
      </c>
      <c r="H740">
        <v>5</v>
      </c>
      <c r="I740">
        <v>404.66</v>
      </c>
      <c r="J740">
        <v>0</v>
      </c>
      <c r="K740">
        <v>2023.3</v>
      </c>
      <c r="L740">
        <v>1400</v>
      </c>
      <c r="M740">
        <v>623.29999999999995</v>
      </c>
      <c r="N740" t="s">
        <v>21</v>
      </c>
      <c r="O740" t="s">
        <v>22</v>
      </c>
    </row>
    <row r="741" spans="1:15" x14ac:dyDescent="0.35">
      <c r="A741" t="s">
        <v>1061</v>
      </c>
      <c r="B741" s="1">
        <v>45688</v>
      </c>
      <c r="C741" t="s">
        <v>944</v>
      </c>
      <c r="D741" t="s">
        <v>58</v>
      </c>
      <c r="E741" t="s">
        <v>18</v>
      </c>
      <c r="F741" t="s">
        <v>27</v>
      </c>
      <c r="G741" t="s">
        <v>20</v>
      </c>
      <c r="H741">
        <v>1</v>
      </c>
      <c r="I741">
        <v>200.02</v>
      </c>
      <c r="J741">
        <v>0</v>
      </c>
      <c r="K741">
        <v>200.02</v>
      </c>
      <c r="L741">
        <v>110</v>
      </c>
      <c r="M741">
        <v>90.02</v>
      </c>
      <c r="N741" t="s">
        <v>21</v>
      </c>
      <c r="O741" t="s">
        <v>42</v>
      </c>
    </row>
    <row r="742" spans="1:15" x14ac:dyDescent="0.35">
      <c r="A742" t="s">
        <v>1062</v>
      </c>
      <c r="B742" s="1">
        <v>45951</v>
      </c>
      <c r="C742" t="s">
        <v>743</v>
      </c>
      <c r="D742" t="s">
        <v>45</v>
      </c>
      <c r="E742" t="s">
        <v>46</v>
      </c>
      <c r="F742" t="s">
        <v>19</v>
      </c>
      <c r="G742" t="s">
        <v>20</v>
      </c>
      <c r="H742">
        <v>4</v>
      </c>
      <c r="I742">
        <v>295.11</v>
      </c>
      <c r="J742">
        <v>0</v>
      </c>
      <c r="K742">
        <v>1180.44</v>
      </c>
      <c r="L742">
        <v>680</v>
      </c>
      <c r="M742">
        <v>500.44</v>
      </c>
      <c r="N742" t="s">
        <v>38</v>
      </c>
      <c r="O742" t="s">
        <v>28</v>
      </c>
    </row>
    <row r="743" spans="1:15" x14ac:dyDescent="0.35">
      <c r="A743" t="s">
        <v>1063</v>
      </c>
      <c r="B743" s="1">
        <v>45674</v>
      </c>
      <c r="C743" t="s">
        <v>532</v>
      </c>
      <c r="D743" t="s">
        <v>45</v>
      </c>
      <c r="E743" t="s">
        <v>46</v>
      </c>
      <c r="F743" t="s">
        <v>36</v>
      </c>
      <c r="G743" t="s">
        <v>37</v>
      </c>
      <c r="H743">
        <v>1</v>
      </c>
      <c r="I743">
        <v>126.88</v>
      </c>
      <c r="J743">
        <v>0.15</v>
      </c>
      <c r="K743">
        <v>107.85</v>
      </c>
      <c r="L743">
        <v>60</v>
      </c>
      <c r="M743">
        <v>47.85</v>
      </c>
      <c r="N743" t="s">
        <v>21</v>
      </c>
      <c r="O743" t="s">
        <v>22</v>
      </c>
    </row>
    <row r="744" spans="1:15" x14ac:dyDescent="0.35">
      <c r="A744" t="s">
        <v>1064</v>
      </c>
      <c r="B744" s="1">
        <v>45815</v>
      </c>
      <c r="C744" t="s">
        <v>503</v>
      </c>
      <c r="D744" t="s">
        <v>50</v>
      </c>
      <c r="E744" t="s">
        <v>32</v>
      </c>
      <c r="F744" t="s">
        <v>41</v>
      </c>
      <c r="G744" t="s">
        <v>37</v>
      </c>
      <c r="H744">
        <v>5</v>
      </c>
      <c r="I744">
        <v>870.2</v>
      </c>
      <c r="J744">
        <v>0</v>
      </c>
      <c r="K744">
        <v>4351</v>
      </c>
      <c r="L744">
        <v>3000</v>
      </c>
      <c r="M744">
        <v>1351</v>
      </c>
      <c r="N744" t="s">
        <v>33</v>
      </c>
      <c r="O744" t="s">
        <v>28</v>
      </c>
    </row>
    <row r="745" spans="1:15" x14ac:dyDescent="0.35">
      <c r="A745" t="s">
        <v>1065</v>
      </c>
      <c r="B745" s="1">
        <v>45831</v>
      </c>
      <c r="C745" t="s">
        <v>503</v>
      </c>
      <c r="D745" t="s">
        <v>50</v>
      </c>
      <c r="E745" t="s">
        <v>32</v>
      </c>
      <c r="F745" t="s">
        <v>36</v>
      </c>
      <c r="G745" t="s">
        <v>37</v>
      </c>
      <c r="H745">
        <v>6</v>
      </c>
      <c r="I745">
        <v>116.23</v>
      </c>
      <c r="J745">
        <v>0</v>
      </c>
      <c r="K745">
        <v>697.38</v>
      </c>
      <c r="L745">
        <v>360</v>
      </c>
      <c r="M745">
        <v>337.38</v>
      </c>
      <c r="N745" t="s">
        <v>47</v>
      </c>
      <c r="O745" t="s">
        <v>22</v>
      </c>
    </row>
    <row r="746" spans="1:15" x14ac:dyDescent="0.35">
      <c r="A746" t="s">
        <v>1066</v>
      </c>
      <c r="B746" s="1">
        <v>46016</v>
      </c>
      <c r="C746" t="s">
        <v>187</v>
      </c>
      <c r="D746" t="s">
        <v>50</v>
      </c>
      <c r="E746" t="s">
        <v>32</v>
      </c>
      <c r="F746" t="s">
        <v>19</v>
      </c>
      <c r="G746" t="s">
        <v>20</v>
      </c>
      <c r="H746">
        <v>2</v>
      </c>
      <c r="I746">
        <v>293.54000000000002</v>
      </c>
      <c r="J746">
        <v>0.15</v>
      </c>
      <c r="K746">
        <v>499.02</v>
      </c>
      <c r="L746">
        <v>340</v>
      </c>
      <c r="M746">
        <v>159.02000000000001</v>
      </c>
      <c r="N746" t="s">
        <v>38</v>
      </c>
      <c r="O746" t="s">
        <v>42</v>
      </c>
    </row>
    <row r="747" spans="1:15" x14ac:dyDescent="0.35">
      <c r="A747" t="s">
        <v>1067</v>
      </c>
      <c r="B747" s="1">
        <v>45682</v>
      </c>
      <c r="C747" t="s">
        <v>475</v>
      </c>
      <c r="D747" t="s">
        <v>66</v>
      </c>
      <c r="E747" t="s">
        <v>61</v>
      </c>
      <c r="F747" t="s">
        <v>41</v>
      </c>
      <c r="G747" t="s">
        <v>37</v>
      </c>
      <c r="H747">
        <v>4</v>
      </c>
      <c r="I747">
        <v>824.01</v>
      </c>
      <c r="J747">
        <v>0.05</v>
      </c>
      <c r="K747">
        <v>3131.24</v>
      </c>
      <c r="L747">
        <v>2400</v>
      </c>
      <c r="M747">
        <v>731.24</v>
      </c>
      <c r="N747" t="s">
        <v>21</v>
      </c>
      <c r="O747" t="s">
        <v>22</v>
      </c>
    </row>
    <row r="748" spans="1:15" x14ac:dyDescent="0.35">
      <c r="A748" t="s">
        <v>1068</v>
      </c>
      <c r="B748" s="1">
        <v>45705</v>
      </c>
      <c r="C748" t="s">
        <v>624</v>
      </c>
      <c r="D748" t="s">
        <v>60</v>
      </c>
      <c r="E748" t="s">
        <v>61</v>
      </c>
      <c r="F748" t="s">
        <v>41</v>
      </c>
      <c r="G748" t="s">
        <v>37</v>
      </c>
      <c r="H748">
        <v>6</v>
      </c>
      <c r="I748">
        <v>815.56</v>
      </c>
      <c r="J748">
        <v>0.05</v>
      </c>
      <c r="K748">
        <v>4648.6899999999996</v>
      </c>
      <c r="L748">
        <v>3600</v>
      </c>
      <c r="M748">
        <v>1048.69</v>
      </c>
      <c r="N748" t="s">
        <v>21</v>
      </c>
      <c r="O748" t="s">
        <v>28</v>
      </c>
    </row>
    <row r="749" spans="1:15" x14ac:dyDescent="0.35">
      <c r="A749" t="s">
        <v>1069</v>
      </c>
      <c r="B749" s="1">
        <v>45966</v>
      </c>
      <c r="C749" t="s">
        <v>703</v>
      </c>
      <c r="D749" t="s">
        <v>17</v>
      </c>
      <c r="E749" t="s">
        <v>18</v>
      </c>
      <c r="F749" t="s">
        <v>51</v>
      </c>
      <c r="G749" t="s">
        <v>37</v>
      </c>
      <c r="H749">
        <v>1</v>
      </c>
      <c r="I749">
        <v>255.03</v>
      </c>
      <c r="J749">
        <v>0.1</v>
      </c>
      <c r="K749">
        <v>229.53</v>
      </c>
      <c r="L749">
        <v>150</v>
      </c>
      <c r="M749">
        <v>79.53</v>
      </c>
      <c r="N749" t="s">
        <v>47</v>
      </c>
      <c r="O749" t="s">
        <v>28</v>
      </c>
    </row>
    <row r="750" spans="1:15" x14ac:dyDescent="0.35">
      <c r="A750" t="s">
        <v>1070</v>
      </c>
      <c r="B750" s="1">
        <v>45989</v>
      </c>
      <c r="C750" t="s">
        <v>179</v>
      </c>
      <c r="D750" t="s">
        <v>50</v>
      </c>
      <c r="E750" t="s">
        <v>32</v>
      </c>
      <c r="F750" t="s">
        <v>19</v>
      </c>
      <c r="G750" t="s">
        <v>20</v>
      </c>
      <c r="H750">
        <v>1</v>
      </c>
      <c r="I750">
        <v>294.05</v>
      </c>
      <c r="J750">
        <v>0.15</v>
      </c>
      <c r="K750">
        <v>249.94</v>
      </c>
      <c r="L750">
        <v>170</v>
      </c>
      <c r="M750">
        <v>79.94</v>
      </c>
      <c r="N750" t="s">
        <v>47</v>
      </c>
      <c r="O750" t="s">
        <v>28</v>
      </c>
    </row>
    <row r="751" spans="1:15" x14ac:dyDescent="0.35">
      <c r="A751" t="s">
        <v>1071</v>
      </c>
      <c r="B751" s="1">
        <v>45835</v>
      </c>
      <c r="C751" t="s">
        <v>635</v>
      </c>
      <c r="D751" t="s">
        <v>50</v>
      </c>
      <c r="E751" t="s">
        <v>32</v>
      </c>
      <c r="F751" t="s">
        <v>67</v>
      </c>
      <c r="G751" t="s">
        <v>37</v>
      </c>
      <c r="H751">
        <v>2</v>
      </c>
      <c r="I751">
        <v>73.53</v>
      </c>
      <c r="J751">
        <v>0.1</v>
      </c>
      <c r="K751">
        <v>132.35</v>
      </c>
      <c r="L751">
        <v>80</v>
      </c>
      <c r="M751">
        <v>52.35</v>
      </c>
      <c r="N751" t="s">
        <v>21</v>
      </c>
      <c r="O751" t="s">
        <v>42</v>
      </c>
    </row>
    <row r="752" spans="1:15" x14ac:dyDescent="0.35">
      <c r="A752" t="s">
        <v>1072</v>
      </c>
      <c r="B752" s="1">
        <v>45962</v>
      </c>
      <c r="C752" t="s">
        <v>640</v>
      </c>
      <c r="D752" t="s">
        <v>66</v>
      </c>
      <c r="E752" t="s">
        <v>61</v>
      </c>
      <c r="F752" t="s">
        <v>51</v>
      </c>
      <c r="G752" t="s">
        <v>37</v>
      </c>
      <c r="H752">
        <v>2</v>
      </c>
      <c r="I752">
        <v>237.02</v>
      </c>
      <c r="J752">
        <v>0</v>
      </c>
      <c r="K752">
        <v>474.04</v>
      </c>
      <c r="L752">
        <v>300</v>
      </c>
      <c r="M752">
        <v>174.04</v>
      </c>
      <c r="N752" t="s">
        <v>38</v>
      </c>
      <c r="O752" t="s">
        <v>42</v>
      </c>
    </row>
    <row r="753" spans="1:15" x14ac:dyDescent="0.35">
      <c r="A753" t="s">
        <v>1073</v>
      </c>
      <c r="B753" s="1">
        <v>45927</v>
      </c>
      <c r="C753" t="s">
        <v>1074</v>
      </c>
      <c r="D753" t="s">
        <v>45</v>
      </c>
      <c r="E753" t="s">
        <v>46</v>
      </c>
      <c r="F753" t="s">
        <v>41</v>
      </c>
      <c r="G753" t="s">
        <v>37</v>
      </c>
      <c r="H753">
        <v>1</v>
      </c>
      <c r="I753">
        <v>859.94</v>
      </c>
      <c r="J753">
        <v>0</v>
      </c>
      <c r="K753">
        <v>859.94</v>
      </c>
      <c r="L753">
        <v>600</v>
      </c>
      <c r="M753">
        <v>259.94</v>
      </c>
      <c r="N753" t="s">
        <v>21</v>
      </c>
      <c r="O753" t="s">
        <v>28</v>
      </c>
    </row>
    <row r="754" spans="1:15" x14ac:dyDescent="0.35">
      <c r="A754" t="s">
        <v>1075</v>
      </c>
      <c r="B754" s="1">
        <v>45815</v>
      </c>
      <c r="C754" t="s">
        <v>872</v>
      </c>
      <c r="D754" t="s">
        <v>58</v>
      </c>
      <c r="E754" t="s">
        <v>18</v>
      </c>
      <c r="F754" t="s">
        <v>19</v>
      </c>
      <c r="G754" t="s">
        <v>20</v>
      </c>
      <c r="H754">
        <v>2</v>
      </c>
      <c r="I754">
        <v>278.77999999999997</v>
      </c>
      <c r="J754">
        <v>0.05</v>
      </c>
      <c r="K754">
        <v>529.67999999999995</v>
      </c>
      <c r="L754">
        <v>340</v>
      </c>
      <c r="M754">
        <v>189.68</v>
      </c>
      <c r="N754" t="s">
        <v>33</v>
      </c>
      <c r="O754" t="s">
        <v>28</v>
      </c>
    </row>
    <row r="755" spans="1:15" x14ac:dyDescent="0.35">
      <c r="A755" t="s">
        <v>1076</v>
      </c>
      <c r="B755" s="1">
        <v>45846</v>
      </c>
      <c r="C755" t="s">
        <v>40</v>
      </c>
      <c r="D755" t="s">
        <v>31</v>
      </c>
      <c r="E755" t="s">
        <v>32</v>
      </c>
      <c r="F755" t="s">
        <v>41</v>
      </c>
      <c r="G755" t="s">
        <v>37</v>
      </c>
      <c r="H755">
        <v>5</v>
      </c>
      <c r="I755">
        <v>874.31</v>
      </c>
      <c r="J755">
        <v>0.15</v>
      </c>
      <c r="K755">
        <v>3715.82</v>
      </c>
      <c r="L755">
        <v>3000</v>
      </c>
      <c r="M755">
        <v>715.82</v>
      </c>
      <c r="N755" t="s">
        <v>47</v>
      </c>
      <c r="O755" t="s">
        <v>22</v>
      </c>
    </row>
    <row r="756" spans="1:15" x14ac:dyDescent="0.35">
      <c r="A756" t="s">
        <v>1077</v>
      </c>
      <c r="B756" s="1">
        <v>46001</v>
      </c>
      <c r="C756" t="s">
        <v>240</v>
      </c>
      <c r="D756" t="s">
        <v>50</v>
      </c>
      <c r="E756" t="s">
        <v>32</v>
      </c>
      <c r="F756" t="s">
        <v>36</v>
      </c>
      <c r="G756" t="s">
        <v>37</v>
      </c>
      <c r="H756">
        <v>2</v>
      </c>
      <c r="I756">
        <v>121.19</v>
      </c>
      <c r="J756">
        <v>0</v>
      </c>
      <c r="K756">
        <v>242.38</v>
      </c>
      <c r="L756">
        <v>120</v>
      </c>
      <c r="M756">
        <v>122.38</v>
      </c>
      <c r="N756" t="s">
        <v>21</v>
      </c>
      <c r="O756" t="s">
        <v>28</v>
      </c>
    </row>
    <row r="757" spans="1:15" x14ac:dyDescent="0.35">
      <c r="A757" t="s">
        <v>1078</v>
      </c>
      <c r="B757" s="1">
        <v>45669</v>
      </c>
      <c r="C757" t="s">
        <v>231</v>
      </c>
      <c r="D757" t="s">
        <v>58</v>
      </c>
      <c r="E757" t="s">
        <v>18</v>
      </c>
      <c r="F757" t="s">
        <v>41</v>
      </c>
      <c r="G757" t="s">
        <v>37</v>
      </c>
      <c r="H757">
        <v>3</v>
      </c>
      <c r="I757">
        <v>838.23</v>
      </c>
      <c r="J757">
        <v>0</v>
      </c>
      <c r="K757">
        <v>2514.69</v>
      </c>
      <c r="L757">
        <v>1800</v>
      </c>
      <c r="M757">
        <v>714.69</v>
      </c>
      <c r="N757" t="s">
        <v>47</v>
      </c>
      <c r="O757" t="s">
        <v>42</v>
      </c>
    </row>
    <row r="758" spans="1:15" x14ac:dyDescent="0.35">
      <c r="A758" t="s">
        <v>1079</v>
      </c>
      <c r="B758" s="1">
        <v>45723</v>
      </c>
      <c r="C758" t="s">
        <v>438</v>
      </c>
      <c r="D758" t="s">
        <v>60</v>
      </c>
      <c r="E758" t="s">
        <v>61</v>
      </c>
      <c r="F758" t="s">
        <v>67</v>
      </c>
      <c r="G758" t="s">
        <v>37</v>
      </c>
      <c r="H758">
        <v>3</v>
      </c>
      <c r="I758">
        <v>76.02</v>
      </c>
      <c r="J758">
        <v>0</v>
      </c>
      <c r="K758">
        <v>228.06</v>
      </c>
      <c r="L758">
        <v>120</v>
      </c>
      <c r="M758">
        <v>108.06</v>
      </c>
      <c r="N758" t="s">
        <v>38</v>
      </c>
      <c r="O758" t="s">
        <v>22</v>
      </c>
    </row>
    <row r="759" spans="1:15" x14ac:dyDescent="0.35">
      <c r="A759" t="s">
        <v>1080</v>
      </c>
      <c r="B759" s="1">
        <v>45958</v>
      </c>
      <c r="C759" t="s">
        <v>877</v>
      </c>
      <c r="D759" t="s">
        <v>66</v>
      </c>
      <c r="E759" t="s">
        <v>61</v>
      </c>
      <c r="F759" t="s">
        <v>51</v>
      </c>
      <c r="G759" t="s">
        <v>37</v>
      </c>
      <c r="H759">
        <v>1</v>
      </c>
      <c r="I759">
        <v>234.18</v>
      </c>
      <c r="J759">
        <v>0.1</v>
      </c>
      <c r="K759">
        <v>210.76</v>
      </c>
      <c r="L759">
        <v>150</v>
      </c>
      <c r="M759">
        <v>60.76</v>
      </c>
      <c r="N759" t="s">
        <v>38</v>
      </c>
      <c r="O759" t="s">
        <v>28</v>
      </c>
    </row>
    <row r="760" spans="1:15" x14ac:dyDescent="0.35">
      <c r="A760" t="s">
        <v>1081</v>
      </c>
      <c r="B760" s="1">
        <v>45972</v>
      </c>
      <c r="C760" t="s">
        <v>127</v>
      </c>
      <c r="D760" t="s">
        <v>45</v>
      </c>
      <c r="E760" t="s">
        <v>46</v>
      </c>
      <c r="F760" t="s">
        <v>19</v>
      </c>
      <c r="G760" t="s">
        <v>20</v>
      </c>
      <c r="H760">
        <v>1</v>
      </c>
      <c r="I760">
        <v>278.88</v>
      </c>
      <c r="J760">
        <v>0</v>
      </c>
      <c r="K760">
        <v>278.88</v>
      </c>
      <c r="L760">
        <v>170</v>
      </c>
      <c r="M760">
        <v>108.88</v>
      </c>
      <c r="N760" t="s">
        <v>33</v>
      </c>
      <c r="O760" t="s">
        <v>22</v>
      </c>
    </row>
    <row r="761" spans="1:15" x14ac:dyDescent="0.35">
      <c r="A761" t="s">
        <v>1082</v>
      </c>
      <c r="B761" s="1">
        <v>45682</v>
      </c>
      <c r="C761" t="s">
        <v>119</v>
      </c>
      <c r="D761" t="s">
        <v>58</v>
      </c>
      <c r="E761" t="s">
        <v>18</v>
      </c>
      <c r="F761" t="s">
        <v>27</v>
      </c>
      <c r="G761" t="s">
        <v>20</v>
      </c>
      <c r="H761">
        <v>1</v>
      </c>
      <c r="I761">
        <v>203.09</v>
      </c>
      <c r="J761">
        <v>0</v>
      </c>
      <c r="K761">
        <v>203.09</v>
      </c>
      <c r="L761">
        <v>110</v>
      </c>
      <c r="M761">
        <v>93.09</v>
      </c>
      <c r="N761" t="s">
        <v>47</v>
      </c>
      <c r="O761" t="s">
        <v>28</v>
      </c>
    </row>
    <row r="762" spans="1:15" x14ac:dyDescent="0.35">
      <c r="A762" t="s">
        <v>1083</v>
      </c>
      <c r="B762" s="1">
        <v>45839</v>
      </c>
      <c r="C762" t="s">
        <v>208</v>
      </c>
      <c r="D762" t="s">
        <v>66</v>
      </c>
      <c r="E762" t="s">
        <v>61</v>
      </c>
      <c r="F762" t="s">
        <v>78</v>
      </c>
      <c r="G762" t="s">
        <v>20</v>
      </c>
      <c r="H762">
        <v>1</v>
      </c>
      <c r="I762">
        <v>308.92</v>
      </c>
      <c r="J762">
        <v>0</v>
      </c>
      <c r="K762">
        <v>308.92</v>
      </c>
      <c r="L762">
        <v>200</v>
      </c>
      <c r="M762">
        <v>108.92</v>
      </c>
      <c r="N762" t="s">
        <v>33</v>
      </c>
      <c r="O762" t="s">
        <v>42</v>
      </c>
    </row>
    <row r="763" spans="1:15" x14ac:dyDescent="0.35">
      <c r="A763" t="s">
        <v>1084</v>
      </c>
      <c r="B763" s="1">
        <v>45744</v>
      </c>
      <c r="C763" t="s">
        <v>486</v>
      </c>
      <c r="D763" t="s">
        <v>58</v>
      </c>
      <c r="E763" t="s">
        <v>18</v>
      </c>
      <c r="F763" t="s">
        <v>67</v>
      </c>
      <c r="G763" t="s">
        <v>37</v>
      </c>
      <c r="H763">
        <v>3</v>
      </c>
      <c r="I763">
        <v>73.209999999999994</v>
      </c>
      <c r="J763">
        <v>0.05</v>
      </c>
      <c r="K763">
        <v>208.65</v>
      </c>
      <c r="L763">
        <v>120</v>
      </c>
      <c r="M763">
        <v>88.65</v>
      </c>
      <c r="N763" t="s">
        <v>21</v>
      </c>
      <c r="O763" t="s">
        <v>28</v>
      </c>
    </row>
    <row r="764" spans="1:15" x14ac:dyDescent="0.35">
      <c r="A764" t="s">
        <v>1085</v>
      </c>
      <c r="B764" s="1">
        <v>45928</v>
      </c>
      <c r="C764" t="s">
        <v>739</v>
      </c>
      <c r="D764" t="s">
        <v>17</v>
      </c>
      <c r="E764" t="s">
        <v>18</v>
      </c>
      <c r="F764" t="s">
        <v>67</v>
      </c>
      <c r="G764" t="s">
        <v>37</v>
      </c>
      <c r="H764">
        <v>3</v>
      </c>
      <c r="I764">
        <v>79.53</v>
      </c>
      <c r="J764">
        <v>0</v>
      </c>
      <c r="K764">
        <v>238.59</v>
      </c>
      <c r="L764">
        <v>120</v>
      </c>
      <c r="M764">
        <v>118.59</v>
      </c>
      <c r="N764" t="s">
        <v>47</v>
      </c>
      <c r="O764" t="s">
        <v>22</v>
      </c>
    </row>
    <row r="765" spans="1:15" x14ac:dyDescent="0.35">
      <c r="A765" t="s">
        <v>1086</v>
      </c>
      <c r="B765" s="1">
        <v>45793</v>
      </c>
      <c r="C765" t="s">
        <v>88</v>
      </c>
      <c r="D765" t="s">
        <v>50</v>
      </c>
      <c r="E765" t="s">
        <v>32</v>
      </c>
      <c r="F765" t="s">
        <v>36</v>
      </c>
      <c r="G765" t="s">
        <v>37</v>
      </c>
      <c r="H765">
        <v>4</v>
      </c>
      <c r="I765">
        <v>121.99</v>
      </c>
      <c r="J765">
        <v>0</v>
      </c>
      <c r="K765">
        <v>487.96</v>
      </c>
      <c r="L765">
        <v>240</v>
      </c>
      <c r="M765">
        <v>247.96</v>
      </c>
      <c r="N765" t="s">
        <v>33</v>
      </c>
      <c r="O765" t="s">
        <v>28</v>
      </c>
    </row>
    <row r="766" spans="1:15" x14ac:dyDescent="0.35">
      <c r="A766" t="s">
        <v>1087</v>
      </c>
      <c r="B766" s="1">
        <v>46021</v>
      </c>
      <c r="C766" t="s">
        <v>55</v>
      </c>
      <c r="D766" t="s">
        <v>17</v>
      </c>
      <c r="E766" t="s">
        <v>18</v>
      </c>
      <c r="F766" t="s">
        <v>36</v>
      </c>
      <c r="G766" t="s">
        <v>37</v>
      </c>
      <c r="H766">
        <v>1</v>
      </c>
      <c r="I766">
        <v>116.92</v>
      </c>
      <c r="J766">
        <v>0</v>
      </c>
      <c r="K766">
        <v>116.92</v>
      </c>
      <c r="L766">
        <v>60</v>
      </c>
      <c r="M766">
        <v>56.92</v>
      </c>
      <c r="N766" t="s">
        <v>38</v>
      </c>
      <c r="O766" t="s">
        <v>42</v>
      </c>
    </row>
    <row r="767" spans="1:15" x14ac:dyDescent="0.35">
      <c r="A767" t="s">
        <v>1088</v>
      </c>
      <c r="B767" s="1">
        <v>45868</v>
      </c>
      <c r="C767" t="s">
        <v>121</v>
      </c>
      <c r="D767" t="s">
        <v>25</v>
      </c>
      <c r="E767" t="s">
        <v>26</v>
      </c>
      <c r="F767" t="s">
        <v>78</v>
      </c>
      <c r="G767" t="s">
        <v>20</v>
      </c>
      <c r="H767">
        <v>2</v>
      </c>
      <c r="I767">
        <v>309.42</v>
      </c>
      <c r="J767">
        <v>0.15</v>
      </c>
      <c r="K767">
        <v>526.01</v>
      </c>
      <c r="L767">
        <v>400</v>
      </c>
      <c r="M767">
        <v>126.01</v>
      </c>
      <c r="N767" t="s">
        <v>21</v>
      </c>
      <c r="O767" t="s">
        <v>28</v>
      </c>
    </row>
    <row r="768" spans="1:15" x14ac:dyDescent="0.35">
      <c r="A768" t="s">
        <v>1089</v>
      </c>
      <c r="B768" s="1">
        <v>45666</v>
      </c>
      <c r="C768" t="s">
        <v>800</v>
      </c>
      <c r="D768" t="s">
        <v>60</v>
      </c>
      <c r="E768" t="s">
        <v>61</v>
      </c>
      <c r="F768" t="s">
        <v>36</v>
      </c>
      <c r="G768" t="s">
        <v>37</v>
      </c>
      <c r="H768">
        <v>3</v>
      </c>
      <c r="I768">
        <v>118.72</v>
      </c>
      <c r="J768">
        <v>0.05</v>
      </c>
      <c r="K768">
        <v>338.35</v>
      </c>
      <c r="L768">
        <v>180</v>
      </c>
      <c r="M768">
        <v>158.35</v>
      </c>
      <c r="N768" t="s">
        <v>21</v>
      </c>
      <c r="O768" t="s">
        <v>28</v>
      </c>
    </row>
    <row r="769" spans="1:15" x14ac:dyDescent="0.35">
      <c r="A769" t="s">
        <v>1090</v>
      </c>
      <c r="B769" s="1">
        <v>45752</v>
      </c>
      <c r="C769" t="s">
        <v>259</v>
      </c>
      <c r="D769" t="s">
        <v>66</v>
      </c>
      <c r="E769" t="s">
        <v>61</v>
      </c>
      <c r="F769" t="s">
        <v>78</v>
      </c>
      <c r="G769" t="s">
        <v>20</v>
      </c>
      <c r="H769">
        <v>2</v>
      </c>
      <c r="I769">
        <v>315.97000000000003</v>
      </c>
      <c r="J769">
        <v>0.05</v>
      </c>
      <c r="K769">
        <v>600.34</v>
      </c>
      <c r="L769">
        <v>400</v>
      </c>
      <c r="M769">
        <v>200.34</v>
      </c>
      <c r="N769" t="s">
        <v>21</v>
      </c>
      <c r="O769" t="s">
        <v>42</v>
      </c>
    </row>
    <row r="770" spans="1:15" x14ac:dyDescent="0.35">
      <c r="A770" t="s">
        <v>1091</v>
      </c>
      <c r="B770" s="1">
        <v>45994</v>
      </c>
      <c r="C770" t="s">
        <v>204</v>
      </c>
      <c r="D770" t="s">
        <v>25</v>
      </c>
      <c r="E770" t="s">
        <v>26</v>
      </c>
      <c r="F770" t="s">
        <v>51</v>
      </c>
      <c r="G770" t="s">
        <v>37</v>
      </c>
      <c r="H770">
        <v>1</v>
      </c>
      <c r="I770">
        <v>235.52</v>
      </c>
      <c r="J770">
        <v>0</v>
      </c>
      <c r="K770">
        <v>235.52</v>
      </c>
      <c r="L770">
        <v>150</v>
      </c>
      <c r="M770">
        <v>85.52</v>
      </c>
      <c r="N770" t="s">
        <v>21</v>
      </c>
      <c r="O770" t="s">
        <v>28</v>
      </c>
    </row>
    <row r="771" spans="1:15" x14ac:dyDescent="0.35">
      <c r="A771" t="s">
        <v>1092</v>
      </c>
      <c r="B771" s="1">
        <v>45995</v>
      </c>
      <c r="C771" t="s">
        <v>460</v>
      </c>
      <c r="D771" t="s">
        <v>25</v>
      </c>
      <c r="E771" t="s">
        <v>26</v>
      </c>
      <c r="F771" t="s">
        <v>19</v>
      </c>
      <c r="G771" t="s">
        <v>20</v>
      </c>
      <c r="H771">
        <v>1</v>
      </c>
      <c r="I771">
        <v>296.99</v>
      </c>
      <c r="J771">
        <v>0</v>
      </c>
      <c r="K771">
        <v>296.99</v>
      </c>
      <c r="L771">
        <v>170</v>
      </c>
      <c r="M771">
        <v>126.99</v>
      </c>
      <c r="N771" t="s">
        <v>38</v>
      </c>
      <c r="O771" t="s">
        <v>28</v>
      </c>
    </row>
    <row r="772" spans="1:15" x14ac:dyDescent="0.35">
      <c r="A772" t="s">
        <v>1093</v>
      </c>
      <c r="B772" s="1">
        <v>45931</v>
      </c>
      <c r="C772" t="s">
        <v>435</v>
      </c>
      <c r="D772" t="s">
        <v>17</v>
      </c>
      <c r="E772" t="s">
        <v>18</v>
      </c>
      <c r="F772" t="s">
        <v>67</v>
      </c>
      <c r="G772" t="s">
        <v>37</v>
      </c>
      <c r="H772">
        <v>1</v>
      </c>
      <c r="I772">
        <v>78.11</v>
      </c>
      <c r="J772">
        <v>0</v>
      </c>
      <c r="K772">
        <v>78.11</v>
      </c>
      <c r="L772">
        <v>40</v>
      </c>
      <c r="M772">
        <v>38.11</v>
      </c>
      <c r="N772" t="s">
        <v>38</v>
      </c>
      <c r="O772" t="s">
        <v>28</v>
      </c>
    </row>
    <row r="773" spans="1:15" x14ac:dyDescent="0.35">
      <c r="A773" t="s">
        <v>1094</v>
      </c>
      <c r="B773" s="1">
        <v>45750</v>
      </c>
      <c r="C773" t="s">
        <v>147</v>
      </c>
      <c r="D773" t="s">
        <v>66</v>
      </c>
      <c r="E773" t="s">
        <v>61</v>
      </c>
      <c r="F773" t="s">
        <v>67</v>
      </c>
      <c r="G773" t="s">
        <v>37</v>
      </c>
      <c r="H773">
        <v>2</v>
      </c>
      <c r="I773">
        <v>78.94</v>
      </c>
      <c r="J773">
        <v>0</v>
      </c>
      <c r="K773">
        <v>157.88</v>
      </c>
      <c r="L773">
        <v>80</v>
      </c>
      <c r="M773">
        <v>77.88</v>
      </c>
      <c r="N773" t="s">
        <v>33</v>
      </c>
      <c r="O773" t="s">
        <v>42</v>
      </c>
    </row>
    <row r="774" spans="1:15" x14ac:dyDescent="0.35">
      <c r="A774" t="s">
        <v>1095</v>
      </c>
      <c r="B774" s="1">
        <v>45757</v>
      </c>
      <c r="C774" t="s">
        <v>1002</v>
      </c>
      <c r="D774" t="s">
        <v>50</v>
      </c>
      <c r="E774" t="s">
        <v>32</v>
      </c>
      <c r="F774" t="s">
        <v>41</v>
      </c>
      <c r="G774" t="s">
        <v>37</v>
      </c>
      <c r="H774">
        <v>4</v>
      </c>
      <c r="I774">
        <v>848</v>
      </c>
      <c r="J774">
        <v>0</v>
      </c>
      <c r="K774">
        <v>3392</v>
      </c>
      <c r="L774">
        <v>2400</v>
      </c>
      <c r="M774">
        <v>992</v>
      </c>
      <c r="N774" t="s">
        <v>21</v>
      </c>
      <c r="O774" t="s">
        <v>42</v>
      </c>
    </row>
    <row r="775" spans="1:15" x14ac:dyDescent="0.35">
      <c r="A775" t="s">
        <v>1096</v>
      </c>
      <c r="B775" s="1">
        <v>45784</v>
      </c>
      <c r="C775" t="s">
        <v>367</v>
      </c>
      <c r="D775" t="s">
        <v>25</v>
      </c>
      <c r="E775" t="s">
        <v>26</v>
      </c>
      <c r="F775" t="s">
        <v>67</v>
      </c>
      <c r="G775" t="s">
        <v>37</v>
      </c>
      <c r="H775">
        <v>4</v>
      </c>
      <c r="I775">
        <v>71.709999999999994</v>
      </c>
      <c r="J775">
        <v>0</v>
      </c>
      <c r="K775">
        <v>286.83999999999997</v>
      </c>
      <c r="L775">
        <v>160</v>
      </c>
      <c r="M775">
        <v>126.84</v>
      </c>
      <c r="N775" t="s">
        <v>33</v>
      </c>
      <c r="O775" t="s">
        <v>42</v>
      </c>
    </row>
    <row r="776" spans="1:15" x14ac:dyDescent="0.35">
      <c r="A776" t="s">
        <v>1097</v>
      </c>
      <c r="B776" s="1">
        <v>45769</v>
      </c>
      <c r="C776" t="s">
        <v>1002</v>
      </c>
      <c r="D776" t="s">
        <v>60</v>
      </c>
      <c r="E776" t="s">
        <v>61</v>
      </c>
      <c r="F776" t="s">
        <v>51</v>
      </c>
      <c r="G776" t="s">
        <v>37</v>
      </c>
      <c r="H776">
        <v>2</v>
      </c>
      <c r="I776">
        <v>243.64</v>
      </c>
      <c r="J776">
        <v>0</v>
      </c>
      <c r="K776">
        <v>487.28</v>
      </c>
      <c r="L776">
        <v>300</v>
      </c>
      <c r="M776">
        <v>187.28</v>
      </c>
      <c r="N776" t="s">
        <v>33</v>
      </c>
      <c r="O776" t="s">
        <v>28</v>
      </c>
    </row>
    <row r="777" spans="1:15" x14ac:dyDescent="0.35">
      <c r="A777" t="s">
        <v>1098</v>
      </c>
      <c r="B777" s="1">
        <v>46017</v>
      </c>
      <c r="C777" t="s">
        <v>88</v>
      </c>
      <c r="D777" t="s">
        <v>58</v>
      </c>
      <c r="E777" t="s">
        <v>18</v>
      </c>
      <c r="F777" t="s">
        <v>51</v>
      </c>
      <c r="G777" t="s">
        <v>37</v>
      </c>
      <c r="H777">
        <v>5</v>
      </c>
      <c r="I777">
        <v>230.96</v>
      </c>
      <c r="J777">
        <v>0.15</v>
      </c>
      <c r="K777">
        <v>981.58</v>
      </c>
      <c r="L777">
        <v>750</v>
      </c>
      <c r="M777">
        <v>231.58</v>
      </c>
      <c r="N777" t="s">
        <v>38</v>
      </c>
      <c r="O777" t="s">
        <v>42</v>
      </c>
    </row>
    <row r="778" spans="1:15" x14ac:dyDescent="0.35">
      <c r="A778" t="s">
        <v>1099</v>
      </c>
      <c r="B778" s="1">
        <v>45867</v>
      </c>
      <c r="C778" t="s">
        <v>16</v>
      </c>
      <c r="D778" t="s">
        <v>60</v>
      </c>
      <c r="E778" t="s">
        <v>61</v>
      </c>
      <c r="F778" t="s">
        <v>27</v>
      </c>
      <c r="G778" t="s">
        <v>20</v>
      </c>
      <c r="H778">
        <v>1</v>
      </c>
      <c r="I778">
        <v>182.76</v>
      </c>
      <c r="J778">
        <v>0</v>
      </c>
      <c r="K778">
        <v>182.76</v>
      </c>
      <c r="L778">
        <v>110</v>
      </c>
      <c r="M778">
        <v>72.760000000000005</v>
      </c>
      <c r="N778" t="s">
        <v>21</v>
      </c>
      <c r="O778" t="s">
        <v>28</v>
      </c>
    </row>
    <row r="779" spans="1:15" x14ac:dyDescent="0.35">
      <c r="A779" t="s">
        <v>1100</v>
      </c>
      <c r="B779" s="1">
        <v>45761</v>
      </c>
      <c r="C779" t="s">
        <v>899</v>
      </c>
      <c r="D779" t="s">
        <v>66</v>
      </c>
      <c r="E779" t="s">
        <v>61</v>
      </c>
      <c r="F779" t="s">
        <v>51</v>
      </c>
      <c r="G779" t="s">
        <v>37</v>
      </c>
      <c r="H779">
        <v>2</v>
      </c>
      <c r="I779">
        <v>256.63</v>
      </c>
      <c r="J779">
        <v>0</v>
      </c>
      <c r="K779">
        <v>513.26</v>
      </c>
      <c r="L779">
        <v>300</v>
      </c>
      <c r="M779">
        <v>213.26</v>
      </c>
      <c r="N779" t="s">
        <v>21</v>
      </c>
      <c r="O779" t="s">
        <v>28</v>
      </c>
    </row>
    <row r="780" spans="1:15" x14ac:dyDescent="0.35">
      <c r="A780" t="s">
        <v>1101</v>
      </c>
      <c r="B780" s="1">
        <v>45943</v>
      </c>
      <c r="C780" t="s">
        <v>151</v>
      </c>
      <c r="D780" t="s">
        <v>31</v>
      </c>
      <c r="E780" t="s">
        <v>32</v>
      </c>
      <c r="F780" t="s">
        <v>36</v>
      </c>
      <c r="G780" t="s">
        <v>37</v>
      </c>
      <c r="H780">
        <v>1</v>
      </c>
      <c r="I780">
        <v>128.09</v>
      </c>
      <c r="J780">
        <v>0.05</v>
      </c>
      <c r="K780">
        <v>121.69</v>
      </c>
      <c r="L780">
        <v>60</v>
      </c>
      <c r="M780">
        <v>61.69</v>
      </c>
      <c r="N780" t="s">
        <v>33</v>
      </c>
      <c r="O780" t="s">
        <v>28</v>
      </c>
    </row>
    <row r="781" spans="1:15" x14ac:dyDescent="0.35">
      <c r="A781" t="s">
        <v>1102</v>
      </c>
      <c r="B781" s="1">
        <v>45878</v>
      </c>
      <c r="C781" t="s">
        <v>424</v>
      </c>
      <c r="D781" t="s">
        <v>58</v>
      </c>
      <c r="E781" t="s">
        <v>18</v>
      </c>
      <c r="F781" t="s">
        <v>78</v>
      </c>
      <c r="G781" t="s">
        <v>20</v>
      </c>
      <c r="H781">
        <v>3</v>
      </c>
      <c r="I781">
        <v>327.88</v>
      </c>
      <c r="J781">
        <v>0.05</v>
      </c>
      <c r="K781">
        <v>934.46</v>
      </c>
      <c r="L781">
        <v>600</v>
      </c>
      <c r="M781">
        <v>334.46</v>
      </c>
      <c r="N781" t="s">
        <v>33</v>
      </c>
      <c r="O781" t="s">
        <v>42</v>
      </c>
    </row>
    <row r="782" spans="1:15" x14ac:dyDescent="0.35">
      <c r="A782" t="s">
        <v>1103</v>
      </c>
      <c r="B782" s="1">
        <v>45903</v>
      </c>
      <c r="C782" t="s">
        <v>739</v>
      </c>
      <c r="D782" t="s">
        <v>17</v>
      </c>
      <c r="E782" t="s">
        <v>18</v>
      </c>
      <c r="F782" t="s">
        <v>41</v>
      </c>
      <c r="G782" t="s">
        <v>37</v>
      </c>
      <c r="H782">
        <v>4</v>
      </c>
      <c r="I782">
        <v>898.87</v>
      </c>
      <c r="J782">
        <v>0</v>
      </c>
      <c r="K782">
        <v>3595.48</v>
      </c>
      <c r="L782">
        <v>2400</v>
      </c>
      <c r="M782">
        <v>1195.48</v>
      </c>
      <c r="N782" t="s">
        <v>21</v>
      </c>
      <c r="O782" t="s">
        <v>28</v>
      </c>
    </row>
    <row r="783" spans="1:15" x14ac:dyDescent="0.35">
      <c r="A783" t="s">
        <v>1104</v>
      </c>
      <c r="B783" s="1">
        <v>45697</v>
      </c>
      <c r="C783" t="s">
        <v>324</v>
      </c>
      <c r="D783" t="s">
        <v>25</v>
      </c>
      <c r="E783" t="s">
        <v>26</v>
      </c>
      <c r="F783" t="s">
        <v>19</v>
      </c>
      <c r="G783" t="s">
        <v>20</v>
      </c>
      <c r="H783">
        <v>1</v>
      </c>
      <c r="I783">
        <v>264.29000000000002</v>
      </c>
      <c r="J783">
        <v>0.05</v>
      </c>
      <c r="K783">
        <v>251.08</v>
      </c>
      <c r="L783">
        <v>170</v>
      </c>
      <c r="M783">
        <v>81.08</v>
      </c>
      <c r="N783" t="s">
        <v>38</v>
      </c>
      <c r="O783" t="s">
        <v>22</v>
      </c>
    </row>
    <row r="784" spans="1:15" x14ac:dyDescent="0.35">
      <c r="A784" t="s">
        <v>1105</v>
      </c>
      <c r="B784" s="1">
        <v>45967</v>
      </c>
      <c r="C784" t="s">
        <v>44</v>
      </c>
      <c r="D784" t="s">
        <v>17</v>
      </c>
      <c r="E784" t="s">
        <v>18</v>
      </c>
      <c r="F784" t="s">
        <v>108</v>
      </c>
      <c r="G784" t="s">
        <v>37</v>
      </c>
      <c r="H784">
        <v>5</v>
      </c>
      <c r="I784">
        <v>403.55</v>
      </c>
      <c r="J784">
        <v>0</v>
      </c>
      <c r="K784">
        <v>2017.75</v>
      </c>
      <c r="L784">
        <v>1400</v>
      </c>
      <c r="M784">
        <v>617.75</v>
      </c>
      <c r="N784" t="s">
        <v>21</v>
      </c>
      <c r="O784" t="s">
        <v>42</v>
      </c>
    </row>
    <row r="785" spans="1:15" x14ac:dyDescent="0.35">
      <c r="A785" t="s">
        <v>1106</v>
      </c>
      <c r="B785" s="1">
        <v>45952</v>
      </c>
      <c r="C785" t="s">
        <v>262</v>
      </c>
      <c r="D785" t="s">
        <v>58</v>
      </c>
      <c r="E785" t="s">
        <v>18</v>
      </c>
      <c r="F785" t="s">
        <v>36</v>
      </c>
      <c r="G785" t="s">
        <v>37</v>
      </c>
      <c r="H785">
        <v>4</v>
      </c>
      <c r="I785">
        <v>120.91</v>
      </c>
      <c r="J785">
        <v>0</v>
      </c>
      <c r="K785">
        <v>483.64</v>
      </c>
      <c r="L785">
        <v>240</v>
      </c>
      <c r="M785">
        <v>243.64</v>
      </c>
      <c r="N785" t="s">
        <v>47</v>
      </c>
      <c r="O785" t="s">
        <v>22</v>
      </c>
    </row>
    <row r="786" spans="1:15" x14ac:dyDescent="0.35">
      <c r="A786" t="s">
        <v>1107</v>
      </c>
      <c r="B786" s="1">
        <v>45930</v>
      </c>
      <c r="C786" t="s">
        <v>891</v>
      </c>
      <c r="D786" t="s">
        <v>60</v>
      </c>
      <c r="E786" t="s">
        <v>61</v>
      </c>
      <c r="F786" t="s">
        <v>51</v>
      </c>
      <c r="G786" t="s">
        <v>37</v>
      </c>
      <c r="H786">
        <v>2</v>
      </c>
      <c r="I786">
        <v>237.87</v>
      </c>
      <c r="J786">
        <v>0.1</v>
      </c>
      <c r="K786">
        <v>428.17</v>
      </c>
      <c r="L786">
        <v>300</v>
      </c>
      <c r="M786">
        <v>128.16999999999999</v>
      </c>
      <c r="N786" t="s">
        <v>21</v>
      </c>
      <c r="O786" t="s">
        <v>42</v>
      </c>
    </row>
    <row r="787" spans="1:15" x14ac:dyDescent="0.35">
      <c r="A787" t="s">
        <v>1108</v>
      </c>
      <c r="B787" s="1">
        <v>45843</v>
      </c>
      <c r="C787" t="s">
        <v>103</v>
      </c>
      <c r="D787" t="s">
        <v>50</v>
      </c>
      <c r="E787" t="s">
        <v>32</v>
      </c>
      <c r="F787" t="s">
        <v>19</v>
      </c>
      <c r="G787" t="s">
        <v>20</v>
      </c>
      <c r="H787">
        <v>1</v>
      </c>
      <c r="I787">
        <v>279.45999999999998</v>
      </c>
      <c r="J787">
        <v>0.05</v>
      </c>
      <c r="K787">
        <v>265.49</v>
      </c>
      <c r="L787">
        <v>170</v>
      </c>
      <c r="M787">
        <v>95.49</v>
      </c>
      <c r="N787" t="s">
        <v>21</v>
      </c>
      <c r="O787" t="s">
        <v>28</v>
      </c>
    </row>
    <row r="788" spans="1:15" x14ac:dyDescent="0.35">
      <c r="A788" t="s">
        <v>1109</v>
      </c>
      <c r="B788" s="1">
        <v>45667</v>
      </c>
      <c r="C788" t="s">
        <v>719</v>
      </c>
      <c r="D788" t="s">
        <v>60</v>
      </c>
      <c r="E788" t="s">
        <v>61</v>
      </c>
      <c r="F788" t="s">
        <v>41</v>
      </c>
      <c r="G788" t="s">
        <v>37</v>
      </c>
      <c r="H788">
        <v>2</v>
      </c>
      <c r="I788">
        <v>903.8</v>
      </c>
      <c r="J788">
        <v>0.05</v>
      </c>
      <c r="K788">
        <v>1717.22</v>
      </c>
      <c r="L788">
        <v>1200</v>
      </c>
      <c r="M788">
        <v>517.22</v>
      </c>
      <c r="N788" t="s">
        <v>33</v>
      </c>
      <c r="O788" t="s">
        <v>28</v>
      </c>
    </row>
    <row r="789" spans="1:15" x14ac:dyDescent="0.35">
      <c r="A789" t="s">
        <v>1110</v>
      </c>
      <c r="B789" s="1">
        <v>45821</v>
      </c>
      <c r="C789" t="s">
        <v>251</v>
      </c>
      <c r="D789" t="s">
        <v>45</v>
      </c>
      <c r="E789" t="s">
        <v>46</v>
      </c>
      <c r="F789" t="s">
        <v>19</v>
      </c>
      <c r="G789" t="s">
        <v>20</v>
      </c>
      <c r="H789">
        <v>1</v>
      </c>
      <c r="I789">
        <v>267.26</v>
      </c>
      <c r="J789">
        <v>0.1</v>
      </c>
      <c r="K789">
        <v>240.53</v>
      </c>
      <c r="L789">
        <v>170</v>
      </c>
      <c r="M789">
        <v>70.53</v>
      </c>
      <c r="N789" t="s">
        <v>21</v>
      </c>
      <c r="O789" t="s">
        <v>28</v>
      </c>
    </row>
    <row r="790" spans="1:15" x14ac:dyDescent="0.35">
      <c r="A790" t="s">
        <v>1111</v>
      </c>
      <c r="B790" s="1">
        <v>45990</v>
      </c>
      <c r="C790" t="s">
        <v>471</v>
      </c>
      <c r="D790" t="s">
        <v>17</v>
      </c>
      <c r="E790" t="s">
        <v>18</v>
      </c>
      <c r="F790" t="s">
        <v>51</v>
      </c>
      <c r="G790" t="s">
        <v>37</v>
      </c>
      <c r="H790">
        <v>3</v>
      </c>
      <c r="I790">
        <v>253.75</v>
      </c>
      <c r="J790">
        <v>0.1</v>
      </c>
      <c r="K790">
        <v>685.12</v>
      </c>
      <c r="L790">
        <v>450</v>
      </c>
      <c r="M790">
        <v>235.12</v>
      </c>
      <c r="N790" t="s">
        <v>47</v>
      </c>
      <c r="O790" t="s">
        <v>42</v>
      </c>
    </row>
    <row r="791" spans="1:15" x14ac:dyDescent="0.35">
      <c r="A791" t="s">
        <v>1112</v>
      </c>
      <c r="B791" s="1">
        <v>45715</v>
      </c>
      <c r="C791" t="s">
        <v>1032</v>
      </c>
      <c r="D791" t="s">
        <v>50</v>
      </c>
      <c r="E791" t="s">
        <v>32</v>
      </c>
      <c r="F791" t="s">
        <v>27</v>
      </c>
      <c r="G791" t="s">
        <v>20</v>
      </c>
      <c r="H791">
        <v>1</v>
      </c>
      <c r="I791">
        <v>181.43</v>
      </c>
      <c r="J791">
        <v>0.05</v>
      </c>
      <c r="K791">
        <v>172.36</v>
      </c>
      <c r="L791">
        <v>110</v>
      </c>
      <c r="M791">
        <v>62.36</v>
      </c>
      <c r="N791" t="s">
        <v>47</v>
      </c>
      <c r="O791" t="s">
        <v>28</v>
      </c>
    </row>
    <row r="792" spans="1:15" x14ac:dyDescent="0.35">
      <c r="A792" t="s">
        <v>1113</v>
      </c>
      <c r="B792" s="1">
        <v>45890</v>
      </c>
      <c r="C792" t="s">
        <v>330</v>
      </c>
      <c r="D792" t="s">
        <v>66</v>
      </c>
      <c r="E792" t="s">
        <v>61</v>
      </c>
      <c r="F792" t="s">
        <v>19</v>
      </c>
      <c r="G792" t="s">
        <v>20</v>
      </c>
      <c r="H792">
        <v>2</v>
      </c>
      <c r="I792">
        <v>291.58</v>
      </c>
      <c r="J792">
        <v>0</v>
      </c>
      <c r="K792">
        <v>583.16</v>
      </c>
      <c r="L792">
        <v>340</v>
      </c>
      <c r="M792">
        <v>243.16</v>
      </c>
      <c r="N792" t="s">
        <v>47</v>
      </c>
      <c r="O792" t="s">
        <v>42</v>
      </c>
    </row>
    <row r="793" spans="1:15" x14ac:dyDescent="0.35">
      <c r="A793" t="s">
        <v>1114</v>
      </c>
      <c r="B793" s="1">
        <v>45771</v>
      </c>
      <c r="C793" t="s">
        <v>328</v>
      </c>
      <c r="D793" t="s">
        <v>17</v>
      </c>
      <c r="E793" t="s">
        <v>18</v>
      </c>
      <c r="F793" t="s">
        <v>67</v>
      </c>
      <c r="G793" t="s">
        <v>37</v>
      </c>
      <c r="H793">
        <v>2</v>
      </c>
      <c r="I793">
        <v>76.16</v>
      </c>
      <c r="J793">
        <v>0</v>
      </c>
      <c r="K793">
        <v>152.32</v>
      </c>
      <c r="L793">
        <v>80</v>
      </c>
      <c r="M793">
        <v>72.319999999999993</v>
      </c>
      <c r="N793" t="s">
        <v>38</v>
      </c>
      <c r="O793" t="s">
        <v>28</v>
      </c>
    </row>
    <row r="794" spans="1:15" x14ac:dyDescent="0.35">
      <c r="A794" t="s">
        <v>1115</v>
      </c>
      <c r="B794" s="1">
        <v>45881</v>
      </c>
      <c r="C794" t="s">
        <v>57</v>
      </c>
      <c r="D794" t="s">
        <v>25</v>
      </c>
      <c r="E794" t="s">
        <v>26</v>
      </c>
      <c r="F794" t="s">
        <v>78</v>
      </c>
      <c r="G794" t="s">
        <v>20</v>
      </c>
      <c r="H794">
        <v>1</v>
      </c>
      <c r="I794">
        <v>340.07</v>
      </c>
      <c r="J794">
        <v>0</v>
      </c>
      <c r="K794">
        <v>340.07</v>
      </c>
      <c r="L794">
        <v>200</v>
      </c>
      <c r="M794">
        <v>140.07</v>
      </c>
      <c r="N794" t="s">
        <v>33</v>
      </c>
      <c r="O794" t="s">
        <v>42</v>
      </c>
    </row>
    <row r="795" spans="1:15" x14ac:dyDescent="0.35">
      <c r="A795" t="s">
        <v>1116</v>
      </c>
      <c r="B795" s="1">
        <v>45813</v>
      </c>
      <c r="C795" t="s">
        <v>956</v>
      </c>
      <c r="D795" t="s">
        <v>58</v>
      </c>
      <c r="E795" t="s">
        <v>18</v>
      </c>
      <c r="F795" t="s">
        <v>41</v>
      </c>
      <c r="G795" t="s">
        <v>37</v>
      </c>
      <c r="H795">
        <v>3</v>
      </c>
      <c r="I795">
        <v>888.48</v>
      </c>
      <c r="J795">
        <v>0.15</v>
      </c>
      <c r="K795">
        <v>2265.62</v>
      </c>
      <c r="L795">
        <v>1800</v>
      </c>
      <c r="M795">
        <v>465.62</v>
      </c>
      <c r="N795" t="s">
        <v>38</v>
      </c>
      <c r="O795" t="s">
        <v>28</v>
      </c>
    </row>
    <row r="796" spans="1:15" x14ac:dyDescent="0.35">
      <c r="A796" t="s">
        <v>1117</v>
      </c>
      <c r="B796" s="1">
        <v>45743</v>
      </c>
      <c r="C796" t="s">
        <v>30</v>
      </c>
      <c r="D796" t="s">
        <v>31</v>
      </c>
      <c r="E796" t="s">
        <v>32</v>
      </c>
      <c r="F796" t="s">
        <v>27</v>
      </c>
      <c r="G796" t="s">
        <v>20</v>
      </c>
      <c r="H796">
        <v>2</v>
      </c>
      <c r="I796">
        <v>197.63</v>
      </c>
      <c r="J796">
        <v>0.1</v>
      </c>
      <c r="K796">
        <v>355.73</v>
      </c>
      <c r="L796">
        <v>220</v>
      </c>
      <c r="M796">
        <v>135.72999999999999</v>
      </c>
      <c r="N796" t="s">
        <v>21</v>
      </c>
      <c r="O796" t="s">
        <v>28</v>
      </c>
    </row>
    <row r="797" spans="1:15" x14ac:dyDescent="0.35">
      <c r="A797" t="s">
        <v>1118</v>
      </c>
      <c r="B797" s="1">
        <v>45897</v>
      </c>
      <c r="C797" t="s">
        <v>703</v>
      </c>
      <c r="D797" t="s">
        <v>25</v>
      </c>
      <c r="E797" t="s">
        <v>26</v>
      </c>
      <c r="F797" t="s">
        <v>51</v>
      </c>
      <c r="G797" t="s">
        <v>37</v>
      </c>
      <c r="H797">
        <v>5</v>
      </c>
      <c r="I797">
        <v>245.12</v>
      </c>
      <c r="J797">
        <v>0</v>
      </c>
      <c r="K797">
        <v>1225.5999999999999</v>
      </c>
      <c r="L797">
        <v>750</v>
      </c>
      <c r="M797">
        <v>475.6</v>
      </c>
      <c r="N797" t="s">
        <v>33</v>
      </c>
      <c r="O797" t="s">
        <v>42</v>
      </c>
    </row>
    <row r="798" spans="1:15" x14ac:dyDescent="0.35">
      <c r="A798" t="s">
        <v>1119</v>
      </c>
      <c r="B798" s="1">
        <v>45823</v>
      </c>
      <c r="C798" t="s">
        <v>335</v>
      </c>
      <c r="D798" t="s">
        <v>31</v>
      </c>
      <c r="E798" t="s">
        <v>32</v>
      </c>
      <c r="F798" t="s">
        <v>19</v>
      </c>
      <c r="G798" t="s">
        <v>20</v>
      </c>
      <c r="H798">
        <v>2</v>
      </c>
      <c r="I798">
        <v>268.7</v>
      </c>
      <c r="J798">
        <v>0.1</v>
      </c>
      <c r="K798">
        <v>483.66</v>
      </c>
      <c r="L798">
        <v>340</v>
      </c>
      <c r="M798">
        <v>143.66</v>
      </c>
      <c r="N798" t="s">
        <v>47</v>
      </c>
      <c r="O798" t="s">
        <v>28</v>
      </c>
    </row>
    <row r="799" spans="1:15" x14ac:dyDescent="0.35">
      <c r="A799" t="s">
        <v>1120</v>
      </c>
      <c r="B799" s="1">
        <v>45833</v>
      </c>
      <c r="C799" t="s">
        <v>375</v>
      </c>
      <c r="D799" t="s">
        <v>17</v>
      </c>
      <c r="E799" t="s">
        <v>18</v>
      </c>
      <c r="F799" t="s">
        <v>27</v>
      </c>
      <c r="G799" t="s">
        <v>20</v>
      </c>
      <c r="H799">
        <v>5</v>
      </c>
      <c r="I799">
        <v>192.98</v>
      </c>
      <c r="J799">
        <v>0.1</v>
      </c>
      <c r="K799">
        <v>868.41</v>
      </c>
      <c r="L799">
        <v>550</v>
      </c>
      <c r="M799">
        <v>318.41000000000003</v>
      </c>
      <c r="N799" t="s">
        <v>21</v>
      </c>
      <c r="O799" t="s">
        <v>28</v>
      </c>
    </row>
    <row r="800" spans="1:15" x14ac:dyDescent="0.35">
      <c r="A800" t="s">
        <v>1121</v>
      </c>
      <c r="B800" s="1">
        <v>45839</v>
      </c>
      <c r="C800" t="s">
        <v>495</v>
      </c>
      <c r="D800" t="s">
        <v>60</v>
      </c>
      <c r="E800" t="s">
        <v>61</v>
      </c>
      <c r="F800" t="s">
        <v>78</v>
      </c>
      <c r="G800" t="s">
        <v>20</v>
      </c>
      <c r="H800">
        <v>3</v>
      </c>
      <c r="I800">
        <v>341.89</v>
      </c>
      <c r="J800">
        <v>0</v>
      </c>
      <c r="K800">
        <v>1025.67</v>
      </c>
      <c r="L800">
        <v>600</v>
      </c>
      <c r="M800">
        <v>425.67</v>
      </c>
      <c r="N800" t="s">
        <v>38</v>
      </c>
      <c r="O800" t="s">
        <v>28</v>
      </c>
    </row>
    <row r="801" spans="1:15" x14ac:dyDescent="0.35">
      <c r="A801" t="s">
        <v>1122</v>
      </c>
      <c r="B801" s="1">
        <v>45778</v>
      </c>
      <c r="C801" t="s">
        <v>270</v>
      </c>
      <c r="D801" t="s">
        <v>17</v>
      </c>
      <c r="E801" t="s">
        <v>18</v>
      </c>
      <c r="F801" t="s">
        <v>19</v>
      </c>
      <c r="G801" t="s">
        <v>20</v>
      </c>
      <c r="H801">
        <v>4</v>
      </c>
      <c r="I801">
        <v>281.01</v>
      </c>
      <c r="J801">
        <v>0.05</v>
      </c>
      <c r="K801">
        <v>1067.8399999999999</v>
      </c>
      <c r="L801">
        <v>680</v>
      </c>
      <c r="M801">
        <v>387.84</v>
      </c>
      <c r="N801" t="s">
        <v>21</v>
      </c>
      <c r="O801" t="s">
        <v>28</v>
      </c>
    </row>
    <row r="802" spans="1:15" x14ac:dyDescent="0.35">
      <c r="A802" t="s">
        <v>1123</v>
      </c>
      <c r="B802" s="1">
        <v>45703</v>
      </c>
      <c r="C802" t="s">
        <v>1124</v>
      </c>
      <c r="D802" t="s">
        <v>31</v>
      </c>
      <c r="E802" t="s">
        <v>32</v>
      </c>
      <c r="F802" t="s">
        <v>27</v>
      </c>
      <c r="G802" t="s">
        <v>20</v>
      </c>
      <c r="H802">
        <v>1</v>
      </c>
      <c r="I802">
        <v>185.4</v>
      </c>
      <c r="J802">
        <v>0.05</v>
      </c>
      <c r="K802">
        <v>176.13</v>
      </c>
      <c r="L802">
        <v>110</v>
      </c>
      <c r="M802">
        <v>66.13</v>
      </c>
      <c r="N802" t="s">
        <v>33</v>
      </c>
      <c r="O802" t="s">
        <v>42</v>
      </c>
    </row>
    <row r="803" spans="1:15" x14ac:dyDescent="0.35">
      <c r="A803" t="s">
        <v>1125</v>
      </c>
      <c r="B803" s="1">
        <v>45818</v>
      </c>
      <c r="C803" t="s">
        <v>568</v>
      </c>
      <c r="D803" t="s">
        <v>45</v>
      </c>
      <c r="E803" t="s">
        <v>46</v>
      </c>
      <c r="F803" t="s">
        <v>36</v>
      </c>
      <c r="G803" t="s">
        <v>37</v>
      </c>
      <c r="H803">
        <v>3</v>
      </c>
      <c r="I803">
        <v>129.55000000000001</v>
      </c>
      <c r="J803">
        <v>0.1</v>
      </c>
      <c r="K803">
        <v>349.78</v>
      </c>
      <c r="L803">
        <v>180</v>
      </c>
      <c r="M803">
        <v>169.78</v>
      </c>
      <c r="N803" t="s">
        <v>21</v>
      </c>
      <c r="O803" t="s">
        <v>22</v>
      </c>
    </row>
    <row r="804" spans="1:15" x14ac:dyDescent="0.35">
      <c r="A804" t="s">
        <v>1126</v>
      </c>
      <c r="B804" s="1">
        <v>45792</v>
      </c>
      <c r="C804" t="s">
        <v>882</v>
      </c>
      <c r="D804" t="s">
        <v>31</v>
      </c>
      <c r="E804" t="s">
        <v>32</v>
      </c>
      <c r="F804" t="s">
        <v>41</v>
      </c>
      <c r="G804" t="s">
        <v>37</v>
      </c>
      <c r="H804">
        <v>3</v>
      </c>
      <c r="I804">
        <v>883.21</v>
      </c>
      <c r="J804">
        <v>0</v>
      </c>
      <c r="K804">
        <v>2649.63</v>
      </c>
      <c r="L804">
        <v>1800</v>
      </c>
      <c r="M804">
        <v>849.63</v>
      </c>
      <c r="N804" t="s">
        <v>38</v>
      </c>
      <c r="O804" t="s">
        <v>22</v>
      </c>
    </row>
    <row r="805" spans="1:15" x14ac:dyDescent="0.35">
      <c r="A805" t="s">
        <v>1127</v>
      </c>
      <c r="B805" s="1">
        <v>45972</v>
      </c>
      <c r="C805" t="s">
        <v>113</v>
      </c>
      <c r="D805" t="s">
        <v>66</v>
      </c>
      <c r="E805" t="s">
        <v>61</v>
      </c>
      <c r="F805" t="s">
        <v>36</v>
      </c>
      <c r="G805" t="s">
        <v>37</v>
      </c>
      <c r="H805">
        <v>4</v>
      </c>
      <c r="I805">
        <v>122.39</v>
      </c>
      <c r="J805">
        <v>0</v>
      </c>
      <c r="K805">
        <v>489.56</v>
      </c>
      <c r="L805">
        <v>240</v>
      </c>
      <c r="M805">
        <v>249.56</v>
      </c>
      <c r="N805" t="s">
        <v>38</v>
      </c>
      <c r="O805" t="s">
        <v>28</v>
      </c>
    </row>
    <row r="806" spans="1:15" x14ac:dyDescent="0.35">
      <c r="A806" t="s">
        <v>1128</v>
      </c>
      <c r="B806" s="1">
        <v>45924</v>
      </c>
      <c r="C806" t="s">
        <v>520</v>
      </c>
      <c r="D806" t="s">
        <v>31</v>
      </c>
      <c r="E806" t="s">
        <v>32</v>
      </c>
      <c r="F806" t="s">
        <v>78</v>
      </c>
      <c r="G806" t="s">
        <v>20</v>
      </c>
      <c r="H806">
        <v>6</v>
      </c>
      <c r="I806">
        <v>347.82</v>
      </c>
      <c r="J806">
        <v>0.1</v>
      </c>
      <c r="K806">
        <v>1878.23</v>
      </c>
      <c r="L806">
        <v>1200</v>
      </c>
      <c r="M806">
        <v>678.23</v>
      </c>
      <c r="N806" t="s">
        <v>21</v>
      </c>
      <c r="O806" t="s">
        <v>28</v>
      </c>
    </row>
    <row r="807" spans="1:15" x14ac:dyDescent="0.35">
      <c r="A807" t="s">
        <v>1129</v>
      </c>
      <c r="B807" s="1">
        <v>45870</v>
      </c>
      <c r="C807" t="s">
        <v>354</v>
      </c>
      <c r="D807" t="s">
        <v>25</v>
      </c>
      <c r="E807" t="s">
        <v>26</v>
      </c>
      <c r="F807" t="s">
        <v>36</v>
      </c>
      <c r="G807" t="s">
        <v>37</v>
      </c>
      <c r="H807">
        <v>3</v>
      </c>
      <c r="I807">
        <v>120.33</v>
      </c>
      <c r="J807">
        <v>0</v>
      </c>
      <c r="K807">
        <v>360.99</v>
      </c>
      <c r="L807">
        <v>180</v>
      </c>
      <c r="M807">
        <v>180.99</v>
      </c>
      <c r="N807" t="s">
        <v>21</v>
      </c>
      <c r="O807" t="s">
        <v>28</v>
      </c>
    </row>
    <row r="808" spans="1:15" x14ac:dyDescent="0.35">
      <c r="A808" t="s">
        <v>1130</v>
      </c>
      <c r="B808" s="1">
        <v>45837</v>
      </c>
      <c r="C808" t="s">
        <v>853</v>
      </c>
      <c r="D808" t="s">
        <v>25</v>
      </c>
      <c r="E808" t="s">
        <v>26</v>
      </c>
      <c r="F808" t="s">
        <v>36</v>
      </c>
      <c r="G808" t="s">
        <v>37</v>
      </c>
      <c r="H808">
        <v>2</v>
      </c>
      <c r="I808">
        <v>123.42</v>
      </c>
      <c r="J808">
        <v>0.1</v>
      </c>
      <c r="K808">
        <v>222.16</v>
      </c>
      <c r="L808">
        <v>120</v>
      </c>
      <c r="M808">
        <v>102.16</v>
      </c>
      <c r="N808" t="s">
        <v>47</v>
      </c>
      <c r="O808" t="s">
        <v>28</v>
      </c>
    </row>
    <row r="809" spans="1:15" x14ac:dyDescent="0.35">
      <c r="A809" t="s">
        <v>1131</v>
      </c>
      <c r="B809" s="1">
        <v>45821</v>
      </c>
      <c r="C809" t="s">
        <v>826</v>
      </c>
      <c r="D809" t="s">
        <v>50</v>
      </c>
      <c r="E809" t="s">
        <v>32</v>
      </c>
      <c r="F809" t="s">
        <v>19</v>
      </c>
      <c r="G809" t="s">
        <v>20</v>
      </c>
      <c r="H809">
        <v>5</v>
      </c>
      <c r="I809">
        <v>266.44</v>
      </c>
      <c r="J809">
        <v>0</v>
      </c>
      <c r="K809">
        <v>1332.2</v>
      </c>
      <c r="L809">
        <v>850</v>
      </c>
      <c r="M809">
        <v>482.2</v>
      </c>
      <c r="N809" t="s">
        <v>33</v>
      </c>
      <c r="O809" t="s">
        <v>42</v>
      </c>
    </row>
    <row r="810" spans="1:15" x14ac:dyDescent="0.35">
      <c r="A810" t="s">
        <v>1132</v>
      </c>
      <c r="B810" s="1">
        <v>45937</v>
      </c>
      <c r="C810" t="s">
        <v>972</v>
      </c>
      <c r="D810" t="s">
        <v>58</v>
      </c>
      <c r="E810" t="s">
        <v>18</v>
      </c>
      <c r="F810" t="s">
        <v>41</v>
      </c>
      <c r="G810" t="s">
        <v>37</v>
      </c>
      <c r="H810">
        <v>1</v>
      </c>
      <c r="I810">
        <v>892.75</v>
      </c>
      <c r="J810">
        <v>0.1</v>
      </c>
      <c r="K810">
        <v>803.48</v>
      </c>
      <c r="L810">
        <v>600</v>
      </c>
      <c r="M810">
        <v>203.48</v>
      </c>
      <c r="N810" t="s">
        <v>21</v>
      </c>
      <c r="O810" t="s">
        <v>22</v>
      </c>
    </row>
    <row r="811" spans="1:15" x14ac:dyDescent="0.35">
      <c r="A811" t="s">
        <v>1133</v>
      </c>
      <c r="B811" s="1">
        <v>46001</v>
      </c>
      <c r="C811" t="s">
        <v>524</v>
      </c>
      <c r="D811" t="s">
        <v>25</v>
      </c>
      <c r="E811" t="s">
        <v>26</v>
      </c>
      <c r="F811" t="s">
        <v>41</v>
      </c>
      <c r="G811" t="s">
        <v>37</v>
      </c>
      <c r="H811">
        <v>4</v>
      </c>
      <c r="I811">
        <v>863.69</v>
      </c>
      <c r="J811">
        <v>0.1</v>
      </c>
      <c r="K811">
        <v>3109.28</v>
      </c>
      <c r="L811">
        <v>2400</v>
      </c>
      <c r="M811">
        <v>709.28</v>
      </c>
      <c r="N811" t="s">
        <v>38</v>
      </c>
      <c r="O811" t="s">
        <v>22</v>
      </c>
    </row>
    <row r="812" spans="1:15" x14ac:dyDescent="0.35">
      <c r="A812" t="s">
        <v>1134</v>
      </c>
      <c r="B812" s="1">
        <v>45732</v>
      </c>
      <c r="C812" t="s">
        <v>624</v>
      </c>
      <c r="D812" t="s">
        <v>66</v>
      </c>
      <c r="E812" t="s">
        <v>61</v>
      </c>
      <c r="F812" t="s">
        <v>51</v>
      </c>
      <c r="G812" t="s">
        <v>37</v>
      </c>
      <c r="H812">
        <v>3</v>
      </c>
      <c r="I812">
        <v>257.95</v>
      </c>
      <c r="J812">
        <v>0.05</v>
      </c>
      <c r="K812">
        <v>735.16</v>
      </c>
      <c r="L812">
        <v>450</v>
      </c>
      <c r="M812">
        <v>285.16000000000003</v>
      </c>
      <c r="N812" t="s">
        <v>33</v>
      </c>
      <c r="O812" t="s">
        <v>42</v>
      </c>
    </row>
    <row r="813" spans="1:15" x14ac:dyDescent="0.35">
      <c r="A813" t="s">
        <v>1135</v>
      </c>
      <c r="B813" s="1">
        <v>45781</v>
      </c>
      <c r="C813" t="s">
        <v>1011</v>
      </c>
      <c r="D813" t="s">
        <v>58</v>
      </c>
      <c r="E813" t="s">
        <v>18</v>
      </c>
      <c r="F813" t="s">
        <v>51</v>
      </c>
      <c r="G813" t="s">
        <v>37</v>
      </c>
      <c r="H813">
        <v>2</v>
      </c>
      <c r="I813">
        <v>245.3</v>
      </c>
      <c r="J813">
        <v>0.1</v>
      </c>
      <c r="K813">
        <v>441.54</v>
      </c>
      <c r="L813">
        <v>300</v>
      </c>
      <c r="M813">
        <v>141.54</v>
      </c>
      <c r="N813" t="s">
        <v>21</v>
      </c>
      <c r="O813" t="s">
        <v>28</v>
      </c>
    </row>
    <row r="814" spans="1:15" x14ac:dyDescent="0.35">
      <c r="A814" t="s">
        <v>1136</v>
      </c>
      <c r="B814" s="1">
        <v>45760</v>
      </c>
      <c r="C814" t="s">
        <v>135</v>
      </c>
      <c r="D814" t="s">
        <v>58</v>
      </c>
      <c r="E814" t="s">
        <v>18</v>
      </c>
      <c r="F814" t="s">
        <v>78</v>
      </c>
      <c r="G814" t="s">
        <v>20</v>
      </c>
      <c r="H814">
        <v>2</v>
      </c>
      <c r="I814">
        <v>338.94</v>
      </c>
      <c r="J814">
        <v>0</v>
      </c>
      <c r="K814">
        <v>677.88</v>
      </c>
      <c r="L814">
        <v>400</v>
      </c>
      <c r="M814">
        <v>277.88</v>
      </c>
      <c r="N814" t="s">
        <v>33</v>
      </c>
      <c r="O814" t="s">
        <v>42</v>
      </c>
    </row>
    <row r="815" spans="1:15" x14ac:dyDescent="0.35">
      <c r="A815" t="s">
        <v>1137</v>
      </c>
      <c r="B815" s="1">
        <v>45718</v>
      </c>
      <c r="C815" t="s">
        <v>69</v>
      </c>
      <c r="D815" t="s">
        <v>17</v>
      </c>
      <c r="E815" t="s">
        <v>18</v>
      </c>
      <c r="F815" t="s">
        <v>78</v>
      </c>
      <c r="G815" t="s">
        <v>20</v>
      </c>
      <c r="H815">
        <v>2</v>
      </c>
      <c r="I815">
        <v>332.37</v>
      </c>
      <c r="J815">
        <v>0</v>
      </c>
      <c r="K815">
        <v>664.74</v>
      </c>
      <c r="L815">
        <v>400</v>
      </c>
      <c r="M815">
        <v>264.74</v>
      </c>
      <c r="N815" t="s">
        <v>21</v>
      </c>
      <c r="O815" t="s">
        <v>28</v>
      </c>
    </row>
    <row r="816" spans="1:15" x14ac:dyDescent="0.35">
      <c r="A816" t="s">
        <v>1138</v>
      </c>
      <c r="B816" s="1">
        <v>45990</v>
      </c>
      <c r="C816" t="s">
        <v>240</v>
      </c>
      <c r="D816" t="s">
        <v>50</v>
      </c>
      <c r="E816" t="s">
        <v>32</v>
      </c>
      <c r="F816" t="s">
        <v>67</v>
      </c>
      <c r="G816" t="s">
        <v>37</v>
      </c>
      <c r="H816">
        <v>2</v>
      </c>
      <c r="I816">
        <v>71.5</v>
      </c>
      <c r="J816">
        <v>0</v>
      </c>
      <c r="K816">
        <v>143</v>
      </c>
      <c r="L816">
        <v>80</v>
      </c>
      <c r="M816">
        <v>63</v>
      </c>
      <c r="N816" t="s">
        <v>21</v>
      </c>
      <c r="O816" t="s">
        <v>28</v>
      </c>
    </row>
    <row r="817" spans="1:15" x14ac:dyDescent="0.35">
      <c r="A817" t="s">
        <v>1139</v>
      </c>
      <c r="B817" s="1">
        <v>45966</v>
      </c>
      <c r="C817" t="s">
        <v>383</v>
      </c>
      <c r="D817" t="s">
        <v>60</v>
      </c>
      <c r="E817" t="s">
        <v>61</v>
      </c>
      <c r="F817" t="s">
        <v>78</v>
      </c>
      <c r="G817" t="s">
        <v>20</v>
      </c>
      <c r="H817">
        <v>3</v>
      </c>
      <c r="I817">
        <v>337.33</v>
      </c>
      <c r="J817">
        <v>0</v>
      </c>
      <c r="K817">
        <v>1011.99</v>
      </c>
      <c r="L817">
        <v>600</v>
      </c>
      <c r="M817">
        <v>411.99</v>
      </c>
      <c r="N817" t="s">
        <v>38</v>
      </c>
      <c r="O817" t="s">
        <v>28</v>
      </c>
    </row>
    <row r="818" spans="1:15" x14ac:dyDescent="0.35">
      <c r="A818" t="s">
        <v>1140</v>
      </c>
      <c r="B818" s="1">
        <v>45775</v>
      </c>
      <c r="C818" t="s">
        <v>348</v>
      </c>
      <c r="D818" t="s">
        <v>50</v>
      </c>
      <c r="E818" t="s">
        <v>32</v>
      </c>
      <c r="F818" t="s">
        <v>51</v>
      </c>
      <c r="G818" t="s">
        <v>37</v>
      </c>
      <c r="H818">
        <v>2</v>
      </c>
      <c r="I818">
        <v>228.18</v>
      </c>
      <c r="J818">
        <v>0.05</v>
      </c>
      <c r="K818">
        <v>433.54</v>
      </c>
      <c r="L818">
        <v>300</v>
      </c>
      <c r="M818">
        <v>133.54</v>
      </c>
      <c r="N818" t="s">
        <v>33</v>
      </c>
      <c r="O818" t="s">
        <v>28</v>
      </c>
    </row>
    <row r="819" spans="1:15" x14ac:dyDescent="0.35">
      <c r="A819" t="s">
        <v>1141</v>
      </c>
      <c r="B819" s="1">
        <v>45801</v>
      </c>
      <c r="C819" t="s">
        <v>579</v>
      </c>
      <c r="D819" t="s">
        <v>31</v>
      </c>
      <c r="E819" t="s">
        <v>32</v>
      </c>
      <c r="F819" t="s">
        <v>27</v>
      </c>
      <c r="G819" t="s">
        <v>20</v>
      </c>
      <c r="H819">
        <v>1</v>
      </c>
      <c r="I819">
        <v>203.36</v>
      </c>
      <c r="J819">
        <v>0</v>
      </c>
      <c r="K819">
        <v>203.36</v>
      </c>
      <c r="L819">
        <v>110</v>
      </c>
      <c r="M819">
        <v>93.36</v>
      </c>
      <c r="N819" t="s">
        <v>38</v>
      </c>
      <c r="O819" t="s">
        <v>22</v>
      </c>
    </row>
    <row r="820" spans="1:15" x14ac:dyDescent="0.35">
      <c r="A820" t="s">
        <v>1142</v>
      </c>
      <c r="B820" s="1">
        <v>45743</v>
      </c>
      <c r="C820" t="s">
        <v>99</v>
      </c>
      <c r="D820" t="s">
        <v>17</v>
      </c>
      <c r="E820" t="s">
        <v>18</v>
      </c>
      <c r="F820" t="s">
        <v>108</v>
      </c>
      <c r="G820" t="s">
        <v>37</v>
      </c>
      <c r="H820">
        <v>3</v>
      </c>
      <c r="I820">
        <v>424.7</v>
      </c>
      <c r="J820">
        <v>0</v>
      </c>
      <c r="K820">
        <v>1274.0999999999999</v>
      </c>
      <c r="L820">
        <v>840</v>
      </c>
      <c r="M820">
        <v>434.1</v>
      </c>
      <c r="N820" t="s">
        <v>21</v>
      </c>
      <c r="O820" t="s">
        <v>42</v>
      </c>
    </row>
    <row r="821" spans="1:15" x14ac:dyDescent="0.35">
      <c r="A821" t="s">
        <v>1143</v>
      </c>
      <c r="B821" s="1">
        <v>45991</v>
      </c>
      <c r="C821" t="s">
        <v>179</v>
      </c>
      <c r="D821" t="s">
        <v>25</v>
      </c>
      <c r="E821" t="s">
        <v>26</v>
      </c>
      <c r="F821" t="s">
        <v>36</v>
      </c>
      <c r="G821" t="s">
        <v>37</v>
      </c>
      <c r="H821">
        <v>2</v>
      </c>
      <c r="I821">
        <v>125.68</v>
      </c>
      <c r="J821">
        <v>0.1</v>
      </c>
      <c r="K821">
        <v>226.22</v>
      </c>
      <c r="L821">
        <v>120</v>
      </c>
      <c r="M821">
        <v>106.22</v>
      </c>
      <c r="N821" t="s">
        <v>21</v>
      </c>
      <c r="O821" t="s">
        <v>28</v>
      </c>
    </row>
    <row r="822" spans="1:15" x14ac:dyDescent="0.35">
      <c r="A822" t="s">
        <v>1144</v>
      </c>
      <c r="B822" s="1">
        <v>45953</v>
      </c>
      <c r="C822" t="s">
        <v>778</v>
      </c>
      <c r="D822" t="s">
        <v>60</v>
      </c>
      <c r="E822" t="s">
        <v>61</v>
      </c>
      <c r="F822" t="s">
        <v>19</v>
      </c>
      <c r="G822" t="s">
        <v>20</v>
      </c>
      <c r="H822">
        <v>3</v>
      </c>
      <c r="I822">
        <v>290.10000000000002</v>
      </c>
      <c r="J822">
        <v>0</v>
      </c>
      <c r="K822">
        <v>870.3</v>
      </c>
      <c r="L822">
        <v>510</v>
      </c>
      <c r="M822">
        <v>360.3</v>
      </c>
      <c r="N822" t="s">
        <v>21</v>
      </c>
      <c r="O822" t="s">
        <v>22</v>
      </c>
    </row>
    <row r="823" spans="1:15" x14ac:dyDescent="0.35">
      <c r="A823" t="s">
        <v>1145</v>
      </c>
      <c r="B823" s="1">
        <v>46013</v>
      </c>
      <c r="C823" t="s">
        <v>121</v>
      </c>
      <c r="D823" t="s">
        <v>25</v>
      </c>
      <c r="E823" t="s">
        <v>26</v>
      </c>
      <c r="F823" t="s">
        <v>67</v>
      </c>
      <c r="G823" t="s">
        <v>37</v>
      </c>
      <c r="H823">
        <v>2</v>
      </c>
      <c r="I823">
        <v>78.7</v>
      </c>
      <c r="J823">
        <v>0.1</v>
      </c>
      <c r="K823">
        <v>141.66</v>
      </c>
      <c r="L823">
        <v>80</v>
      </c>
      <c r="M823">
        <v>61.66</v>
      </c>
      <c r="N823" t="s">
        <v>21</v>
      </c>
      <c r="O823" t="s">
        <v>28</v>
      </c>
    </row>
    <row r="824" spans="1:15" x14ac:dyDescent="0.35">
      <c r="A824" t="s">
        <v>1146</v>
      </c>
      <c r="B824" s="1">
        <v>45679</v>
      </c>
      <c r="C824" t="s">
        <v>407</v>
      </c>
      <c r="D824" t="s">
        <v>60</v>
      </c>
      <c r="E824" t="s">
        <v>61</v>
      </c>
      <c r="F824" t="s">
        <v>27</v>
      </c>
      <c r="G824" t="s">
        <v>20</v>
      </c>
      <c r="H824">
        <v>3</v>
      </c>
      <c r="I824">
        <v>185.46</v>
      </c>
      <c r="J824">
        <v>0</v>
      </c>
      <c r="K824">
        <v>556.38</v>
      </c>
      <c r="L824">
        <v>330</v>
      </c>
      <c r="M824">
        <v>226.38</v>
      </c>
      <c r="N824" t="s">
        <v>47</v>
      </c>
      <c r="O824" t="s">
        <v>28</v>
      </c>
    </row>
    <row r="825" spans="1:15" x14ac:dyDescent="0.35">
      <c r="A825" t="s">
        <v>1147</v>
      </c>
      <c r="B825" s="1">
        <v>45763</v>
      </c>
      <c r="C825" t="s">
        <v>80</v>
      </c>
      <c r="D825" t="s">
        <v>60</v>
      </c>
      <c r="E825" t="s">
        <v>61</v>
      </c>
      <c r="F825" t="s">
        <v>67</v>
      </c>
      <c r="G825" t="s">
        <v>37</v>
      </c>
      <c r="H825">
        <v>6</v>
      </c>
      <c r="I825">
        <v>71.94</v>
      </c>
      <c r="J825">
        <v>0</v>
      </c>
      <c r="K825">
        <v>431.64</v>
      </c>
      <c r="L825">
        <v>240</v>
      </c>
      <c r="M825">
        <v>191.64</v>
      </c>
      <c r="N825" t="s">
        <v>38</v>
      </c>
      <c r="O825" t="s">
        <v>28</v>
      </c>
    </row>
    <row r="826" spans="1:15" x14ac:dyDescent="0.35">
      <c r="A826" t="s">
        <v>1148</v>
      </c>
      <c r="B826" s="1">
        <v>45949</v>
      </c>
      <c r="C826" t="s">
        <v>672</v>
      </c>
      <c r="D826" t="s">
        <v>17</v>
      </c>
      <c r="E826" t="s">
        <v>18</v>
      </c>
      <c r="F826" t="s">
        <v>51</v>
      </c>
      <c r="G826" t="s">
        <v>37</v>
      </c>
      <c r="H826">
        <v>3</v>
      </c>
      <c r="I826">
        <v>247.95</v>
      </c>
      <c r="J826">
        <v>0.05</v>
      </c>
      <c r="K826">
        <v>706.66</v>
      </c>
      <c r="L826">
        <v>450</v>
      </c>
      <c r="M826">
        <v>256.66000000000003</v>
      </c>
      <c r="N826" t="s">
        <v>47</v>
      </c>
      <c r="O826" t="s">
        <v>28</v>
      </c>
    </row>
    <row r="827" spans="1:15" x14ac:dyDescent="0.35">
      <c r="A827" t="s">
        <v>1149</v>
      </c>
      <c r="B827" s="1">
        <v>45845</v>
      </c>
      <c r="C827" t="s">
        <v>208</v>
      </c>
      <c r="D827" t="s">
        <v>66</v>
      </c>
      <c r="E827" t="s">
        <v>61</v>
      </c>
      <c r="F827" t="s">
        <v>78</v>
      </c>
      <c r="G827" t="s">
        <v>20</v>
      </c>
      <c r="H827">
        <v>1</v>
      </c>
      <c r="I827">
        <v>338.22</v>
      </c>
      <c r="J827">
        <v>0.05</v>
      </c>
      <c r="K827">
        <v>321.31</v>
      </c>
      <c r="L827">
        <v>200</v>
      </c>
      <c r="M827">
        <v>121.31</v>
      </c>
      <c r="N827" t="s">
        <v>21</v>
      </c>
      <c r="O827" t="s">
        <v>42</v>
      </c>
    </row>
    <row r="828" spans="1:15" x14ac:dyDescent="0.35">
      <c r="A828" t="s">
        <v>1150</v>
      </c>
      <c r="B828" s="1">
        <v>45960</v>
      </c>
      <c r="C828" t="s">
        <v>324</v>
      </c>
      <c r="D828" t="s">
        <v>60</v>
      </c>
      <c r="E828" t="s">
        <v>61</v>
      </c>
      <c r="F828" t="s">
        <v>108</v>
      </c>
      <c r="G828" t="s">
        <v>37</v>
      </c>
      <c r="H828">
        <v>2</v>
      </c>
      <c r="I828">
        <v>422.92</v>
      </c>
      <c r="J828">
        <v>0</v>
      </c>
      <c r="K828">
        <v>845.84</v>
      </c>
      <c r="L828">
        <v>560</v>
      </c>
      <c r="M828">
        <v>285.83999999999997</v>
      </c>
      <c r="N828" t="s">
        <v>47</v>
      </c>
      <c r="O828" t="s">
        <v>42</v>
      </c>
    </row>
    <row r="829" spans="1:15" x14ac:dyDescent="0.35">
      <c r="A829" t="s">
        <v>1151</v>
      </c>
      <c r="B829" s="1">
        <v>45700</v>
      </c>
      <c r="C829" t="s">
        <v>503</v>
      </c>
      <c r="D829" t="s">
        <v>66</v>
      </c>
      <c r="E829" t="s">
        <v>61</v>
      </c>
      <c r="F829" t="s">
        <v>51</v>
      </c>
      <c r="G829" t="s">
        <v>37</v>
      </c>
      <c r="H829">
        <v>2</v>
      </c>
      <c r="I829">
        <v>237.24</v>
      </c>
      <c r="J829">
        <v>0</v>
      </c>
      <c r="K829">
        <v>474.48</v>
      </c>
      <c r="L829">
        <v>300</v>
      </c>
      <c r="M829">
        <v>174.48</v>
      </c>
      <c r="N829" t="s">
        <v>47</v>
      </c>
      <c r="O829" t="s">
        <v>28</v>
      </c>
    </row>
    <row r="830" spans="1:15" x14ac:dyDescent="0.35">
      <c r="A830" t="s">
        <v>1152</v>
      </c>
      <c r="B830" s="1">
        <v>45805</v>
      </c>
      <c r="C830" t="s">
        <v>315</v>
      </c>
      <c r="D830" t="s">
        <v>50</v>
      </c>
      <c r="E830" t="s">
        <v>32</v>
      </c>
      <c r="F830" t="s">
        <v>51</v>
      </c>
      <c r="G830" t="s">
        <v>37</v>
      </c>
      <c r="H830">
        <v>2</v>
      </c>
      <c r="I830">
        <v>257.10000000000002</v>
      </c>
      <c r="J830">
        <v>0</v>
      </c>
      <c r="K830">
        <v>514.20000000000005</v>
      </c>
      <c r="L830">
        <v>300</v>
      </c>
      <c r="M830">
        <v>214.2</v>
      </c>
      <c r="N830" t="s">
        <v>38</v>
      </c>
      <c r="O830" t="s">
        <v>28</v>
      </c>
    </row>
    <row r="831" spans="1:15" x14ac:dyDescent="0.35">
      <c r="A831" t="s">
        <v>1153</v>
      </c>
      <c r="B831" s="1">
        <v>45937</v>
      </c>
      <c r="C831" t="s">
        <v>227</v>
      </c>
      <c r="D831" t="s">
        <v>31</v>
      </c>
      <c r="E831" t="s">
        <v>32</v>
      </c>
      <c r="F831" t="s">
        <v>67</v>
      </c>
      <c r="G831" t="s">
        <v>37</v>
      </c>
      <c r="H831">
        <v>1</v>
      </c>
      <c r="I831">
        <v>72.53</v>
      </c>
      <c r="J831">
        <v>0</v>
      </c>
      <c r="K831">
        <v>72.53</v>
      </c>
      <c r="L831">
        <v>40</v>
      </c>
      <c r="M831">
        <v>32.53</v>
      </c>
      <c r="N831" t="s">
        <v>47</v>
      </c>
      <c r="O831" t="s">
        <v>22</v>
      </c>
    </row>
    <row r="832" spans="1:15" x14ac:dyDescent="0.35">
      <c r="A832" t="s">
        <v>1154</v>
      </c>
      <c r="B832" s="1">
        <v>45851</v>
      </c>
      <c r="C832" t="s">
        <v>806</v>
      </c>
      <c r="D832" t="s">
        <v>25</v>
      </c>
      <c r="E832" t="s">
        <v>26</v>
      </c>
      <c r="F832" t="s">
        <v>78</v>
      </c>
      <c r="G832" t="s">
        <v>20</v>
      </c>
      <c r="H832">
        <v>3</v>
      </c>
      <c r="I832">
        <v>345.27</v>
      </c>
      <c r="J832">
        <v>0</v>
      </c>
      <c r="K832">
        <v>1035.81</v>
      </c>
      <c r="L832">
        <v>600</v>
      </c>
      <c r="M832">
        <v>435.81</v>
      </c>
      <c r="N832" t="s">
        <v>38</v>
      </c>
      <c r="O832" t="s">
        <v>28</v>
      </c>
    </row>
    <row r="833" spans="1:15" x14ac:dyDescent="0.35">
      <c r="A833" t="s">
        <v>1155</v>
      </c>
      <c r="B833" s="1">
        <v>45952</v>
      </c>
      <c r="C833" t="s">
        <v>117</v>
      </c>
      <c r="D833" t="s">
        <v>66</v>
      </c>
      <c r="E833" t="s">
        <v>61</v>
      </c>
      <c r="F833" t="s">
        <v>67</v>
      </c>
      <c r="G833" t="s">
        <v>37</v>
      </c>
      <c r="H833">
        <v>3</v>
      </c>
      <c r="I833">
        <v>79.040000000000006</v>
      </c>
      <c r="J833">
        <v>0</v>
      </c>
      <c r="K833">
        <v>237.12</v>
      </c>
      <c r="L833">
        <v>120</v>
      </c>
      <c r="M833">
        <v>117.12</v>
      </c>
      <c r="N833" t="s">
        <v>47</v>
      </c>
      <c r="O833" t="s">
        <v>28</v>
      </c>
    </row>
    <row r="834" spans="1:15" x14ac:dyDescent="0.35">
      <c r="A834" t="s">
        <v>1156</v>
      </c>
      <c r="B834" s="1">
        <v>45945</v>
      </c>
      <c r="C834" t="s">
        <v>424</v>
      </c>
      <c r="D834" t="s">
        <v>66</v>
      </c>
      <c r="E834" t="s">
        <v>61</v>
      </c>
      <c r="F834" t="s">
        <v>27</v>
      </c>
      <c r="G834" t="s">
        <v>20</v>
      </c>
      <c r="H834">
        <v>3</v>
      </c>
      <c r="I834">
        <v>195.57</v>
      </c>
      <c r="J834">
        <v>0</v>
      </c>
      <c r="K834">
        <v>586.71</v>
      </c>
      <c r="L834">
        <v>330</v>
      </c>
      <c r="M834">
        <v>256.70999999999998</v>
      </c>
      <c r="N834" t="s">
        <v>21</v>
      </c>
      <c r="O834" t="s">
        <v>28</v>
      </c>
    </row>
    <row r="835" spans="1:15" x14ac:dyDescent="0.35">
      <c r="A835" t="s">
        <v>1157</v>
      </c>
      <c r="B835" s="1">
        <v>45965</v>
      </c>
      <c r="C835" t="s">
        <v>341</v>
      </c>
      <c r="D835" t="s">
        <v>58</v>
      </c>
      <c r="E835" t="s">
        <v>18</v>
      </c>
      <c r="F835" t="s">
        <v>41</v>
      </c>
      <c r="G835" t="s">
        <v>37</v>
      </c>
      <c r="H835">
        <v>2</v>
      </c>
      <c r="I835">
        <v>895.73</v>
      </c>
      <c r="J835">
        <v>0.1</v>
      </c>
      <c r="K835">
        <v>1612.31</v>
      </c>
      <c r="L835">
        <v>1200</v>
      </c>
      <c r="M835">
        <v>412.31</v>
      </c>
      <c r="N835" t="s">
        <v>21</v>
      </c>
      <c r="O835" t="s">
        <v>28</v>
      </c>
    </row>
    <row r="836" spans="1:15" x14ac:dyDescent="0.35">
      <c r="A836" t="s">
        <v>1158</v>
      </c>
      <c r="B836" s="1">
        <v>45702</v>
      </c>
      <c r="C836" t="s">
        <v>381</v>
      </c>
      <c r="D836" t="s">
        <v>17</v>
      </c>
      <c r="E836" t="s">
        <v>18</v>
      </c>
      <c r="F836" t="s">
        <v>41</v>
      </c>
      <c r="G836" t="s">
        <v>37</v>
      </c>
      <c r="H836">
        <v>1</v>
      </c>
      <c r="I836">
        <v>898.52</v>
      </c>
      <c r="J836">
        <v>0.1</v>
      </c>
      <c r="K836">
        <v>808.67</v>
      </c>
      <c r="L836">
        <v>600</v>
      </c>
      <c r="M836">
        <v>208.67</v>
      </c>
      <c r="N836" t="s">
        <v>47</v>
      </c>
      <c r="O836" t="s">
        <v>28</v>
      </c>
    </row>
    <row r="837" spans="1:15" x14ac:dyDescent="0.35">
      <c r="A837" t="s">
        <v>1159</v>
      </c>
      <c r="B837" s="1">
        <v>45783</v>
      </c>
      <c r="C837" t="s">
        <v>218</v>
      </c>
      <c r="D837" t="s">
        <v>45</v>
      </c>
      <c r="E837" t="s">
        <v>46</v>
      </c>
      <c r="F837" t="s">
        <v>51</v>
      </c>
      <c r="G837" t="s">
        <v>37</v>
      </c>
      <c r="H837">
        <v>2</v>
      </c>
      <c r="I837">
        <v>255.67</v>
      </c>
      <c r="J837">
        <v>0.05</v>
      </c>
      <c r="K837">
        <v>485.77</v>
      </c>
      <c r="L837">
        <v>300</v>
      </c>
      <c r="M837">
        <v>185.77</v>
      </c>
      <c r="N837" t="s">
        <v>38</v>
      </c>
      <c r="O837" t="s">
        <v>28</v>
      </c>
    </row>
    <row r="838" spans="1:15" x14ac:dyDescent="0.35">
      <c r="A838" t="s">
        <v>1160</v>
      </c>
      <c r="B838" s="1">
        <v>45849</v>
      </c>
      <c r="C838" t="s">
        <v>223</v>
      </c>
      <c r="D838" t="s">
        <v>66</v>
      </c>
      <c r="E838" t="s">
        <v>61</v>
      </c>
      <c r="F838" t="s">
        <v>78</v>
      </c>
      <c r="G838" t="s">
        <v>20</v>
      </c>
      <c r="H838">
        <v>2</v>
      </c>
      <c r="I838">
        <v>349.38</v>
      </c>
      <c r="J838">
        <v>0</v>
      </c>
      <c r="K838">
        <v>698.76</v>
      </c>
      <c r="L838">
        <v>400</v>
      </c>
      <c r="M838">
        <v>298.76</v>
      </c>
      <c r="N838" t="s">
        <v>21</v>
      </c>
      <c r="O838" t="s">
        <v>28</v>
      </c>
    </row>
    <row r="839" spans="1:15" x14ac:dyDescent="0.35">
      <c r="A839" t="s">
        <v>1161</v>
      </c>
      <c r="B839" s="1">
        <v>45859</v>
      </c>
      <c r="C839" t="s">
        <v>181</v>
      </c>
      <c r="D839" t="s">
        <v>25</v>
      </c>
      <c r="E839" t="s">
        <v>26</v>
      </c>
      <c r="F839" t="s">
        <v>27</v>
      </c>
      <c r="G839" t="s">
        <v>20</v>
      </c>
      <c r="H839">
        <v>1</v>
      </c>
      <c r="I839">
        <v>203.81</v>
      </c>
      <c r="J839">
        <v>0.05</v>
      </c>
      <c r="K839">
        <v>193.62</v>
      </c>
      <c r="L839">
        <v>110</v>
      </c>
      <c r="M839">
        <v>83.62</v>
      </c>
      <c r="N839" t="s">
        <v>21</v>
      </c>
      <c r="O839" t="s">
        <v>22</v>
      </c>
    </row>
    <row r="840" spans="1:15" x14ac:dyDescent="0.35">
      <c r="A840" t="s">
        <v>1162</v>
      </c>
      <c r="B840" s="1">
        <v>45690</v>
      </c>
      <c r="C840" t="s">
        <v>826</v>
      </c>
      <c r="D840" t="s">
        <v>66</v>
      </c>
      <c r="E840" t="s">
        <v>61</v>
      </c>
      <c r="F840" t="s">
        <v>36</v>
      </c>
      <c r="G840" t="s">
        <v>37</v>
      </c>
      <c r="H840">
        <v>4</v>
      </c>
      <c r="I840">
        <v>127.31</v>
      </c>
      <c r="J840">
        <v>0.05</v>
      </c>
      <c r="K840">
        <v>483.78</v>
      </c>
      <c r="L840">
        <v>240</v>
      </c>
      <c r="M840">
        <v>243.78</v>
      </c>
      <c r="N840" t="s">
        <v>33</v>
      </c>
      <c r="O840" t="s">
        <v>28</v>
      </c>
    </row>
    <row r="841" spans="1:15" x14ac:dyDescent="0.35">
      <c r="A841" t="s">
        <v>1163</v>
      </c>
      <c r="B841" s="1">
        <v>45768</v>
      </c>
      <c r="C841" t="s">
        <v>199</v>
      </c>
      <c r="D841" t="s">
        <v>45</v>
      </c>
      <c r="E841" t="s">
        <v>46</v>
      </c>
      <c r="F841" t="s">
        <v>36</v>
      </c>
      <c r="G841" t="s">
        <v>37</v>
      </c>
      <c r="H841">
        <v>2</v>
      </c>
      <c r="I841">
        <v>122.7</v>
      </c>
      <c r="J841">
        <v>0</v>
      </c>
      <c r="K841">
        <v>245.4</v>
      </c>
      <c r="L841">
        <v>120</v>
      </c>
      <c r="M841">
        <v>125.4</v>
      </c>
      <c r="N841" t="s">
        <v>21</v>
      </c>
      <c r="O841" t="s">
        <v>28</v>
      </c>
    </row>
    <row r="842" spans="1:15" x14ac:dyDescent="0.35">
      <c r="A842" t="s">
        <v>1164</v>
      </c>
      <c r="B842" s="1">
        <v>45938</v>
      </c>
      <c r="C842" t="s">
        <v>719</v>
      </c>
      <c r="D842" t="s">
        <v>58</v>
      </c>
      <c r="E842" t="s">
        <v>18</v>
      </c>
      <c r="F842" t="s">
        <v>41</v>
      </c>
      <c r="G842" t="s">
        <v>37</v>
      </c>
      <c r="H842">
        <v>1</v>
      </c>
      <c r="I842">
        <v>858.91</v>
      </c>
      <c r="J842">
        <v>0.15</v>
      </c>
      <c r="K842">
        <v>730.07</v>
      </c>
      <c r="L842">
        <v>600</v>
      </c>
      <c r="M842">
        <v>130.07</v>
      </c>
      <c r="N842" t="s">
        <v>21</v>
      </c>
      <c r="O842" t="s">
        <v>28</v>
      </c>
    </row>
    <row r="843" spans="1:15" x14ac:dyDescent="0.35">
      <c r="A843" t="s">
        <v>1165</v>
      </c>
      <c r="B843" s="1">
        <v>45944</v>
      </c>
      <c r="C843" t="s">
        <v>185</v>
      </c>
      <c r="D843" t="s">
        <v>66</v>
      </c>
      <c r="E843" t="s">
        <v>61</v>
      </c>
      <c r="F843" t="s">
        <v>41</v>
      </c>
      <c r="G843" t="s">
        <v>37</v>
      </c>
      <c r="H843">
        <v>2</v>
      </c>
      <c r="I843">
        <v>864.97</v>
      </c>
      <c r="J843">
        <v>0.05</v>
      </c>
      <c r="K843">
        <v>1643.44</v>
      </c>
      <c r="L843">
        <v>1200</v>
      </c>
      <c r="M843">
        <v>443.44</v>
      </c>
      <c r="N843" t="s">
        <v>21</v>
      </c>
      <c r="O843" t="s">
        <v>28</v>
      </c>
    </row>
    <row r="844" spans="1:15" x14ac:dyDescent="0.35">
      <c r="A844" t="s">
        <v>1166</v>
      </c>
      <c r="B844" s="1">
        <v>45685</v>
      </c>
      <c r="C844" t="s">
        <v>516</v>
      </c>
      <c r="D844" t="s">
        <v>17</v>
      </c>
      <c r="E844" t="s">
        <v>18</v>
      </c>
      <c r="F844" t="s">
        <v>78</v>
      </c>
      <c r="G844" t="s">
        <v>20</v>
      </c>
      <c r="H844">
        <v>1</v>
      </c>
      <c r="I844">
        <v>342.84</v>
      </c>
      <c r="J844">
        <v>0.05</v>
      </c>
      <c r="K844">
        <v>325.7</v>
      </c>
      <c r="L844">
        <v>200</v>
      </c>
      <c r="M844">
        <v>125.7</v>
      </c>
      <c r="N844" t="s">
        <v>21</v>
      </c>
      <c r="O844" t="s">
        <v>28</v>
      </c>
    </row>
    <row r="845" spans="1:15" x14ac:dyDescent="0.35">
      <c r="A845" t="s">
        <v>1167</v>
      </c>
      <c r="B845" s="1">
        <v>45667</v>
      </c>
      <c r="C845" t="s">
        <v>534</v>
      </c>
      <c r="D845" t="s">
        <v>66</v>
      </c>
      <c r="E845" t="s">
        <v>61</v>
      </c>
      <c r="F845" t="s">
        <v>51</v>
      </c>
      <c r="G845" t="s">
        <v>37</v>
      </c>
      <c r="H845">
        <v>2</v>
      </c>
      <c r="I845">
        <v>243.7</v>
      </c>
      <c r="J845">
        <v>0.05</v>
      </c>
      <c r="K845">
        <v>463.03</v>
      </c>
      <c r="L845">
        <v>300</v>
      </c>
      <c r="M845">
        <v>163.03</v>
      </c>
      <c r="N845" t="s">
        <v>38</v>
      </c>
      <c r="O845" t="s">
        <v>22</v>
      </c>
    </row>
    <row r="846" spans="1:15" x14ac:dyDescent="0.35">
      <c r="A846" t="s">
        <v>1168</v>
      </c>
      <c r="B846" s="1">
        <v>45762</v>
      </c>
      <c r="C846" t="s">
        <v>621</v>
      </c>
      <c r="D846" t="s">
        <v>66</v>
      </c>
      <c r="E846" t="s">
        <v>61</v>
      </c>
      <c r="F846" t="s">
        <v>67</v>
      </c>
      <c r="G846" t="s">
        <v>37</v>
      </c>
      <c r="H846">
        <v>4</v>
      </c>
      <c r="I846">
        <v>75.25</v>
      </c>
      <c r="J846">
        <v>0.05</v>
      </c>
      <c r="K846">
        <v>285.95</v>
      </c>
      <c r="L846">
        <v>160</v>
      </c>
      <c r="M846">
        <v>125.95</v>
      </c>
      <c r="N846" t="s">
        <v>21</v>
      </c>
      <c r="O846" t="s">
        <v>28</v>
      </c>
    </row>
    <row r="847" spans="1:15" x14ac:dyDescent="0.35">
      <c r="A847" t="s">
        <v>1169</v>
      </c>
      <c r="B847" s="1">
        <v>45790</v>
      </c>
      <c r="C847" t="s">
        <v>1074</v>
      </c>
      <c r="D847" t="s">
        <v>25</v>
      </c>
      <c r="E847" t="s">
        <v>26</v>
      </c>
      <c r="F847" t="s">
        <v>51</v>
      </c>
      <c r="G847" t="s">
        <v>37</v>
      </c>
      <c r="H847">
        <v>2</v>
      </c>
      <c r="I847">
        <v>237.76</v>
      </c>
      <c r="J847">
        <v>0.15</v>
      </c>
      <c r="K847">
        <v>404.19</v>
      </c>
      <c r="L847">
        <v>300</v>
      </c>
      <c r="M847">
        <v>104.19</v>
      </c>
      <c r="N847" t="s">
        <v>47</v>
      </c>
      <c r="O847" t="s">
        <v>28</v>
      </c>
    </row>
    <row r="848" spans="1:15" x14ac:dyDescent="0.35">
      <c r="A848" t="s">
        <v>1170</v>
      </c>
      <c r="B848" s="1">
        <v>45796</v>
      </c>
      <c r="C848" t="s">
        <v>426</v>
      </c>
      <c r="D848" t="s">
        <v>17</v>
      </c>
      <c r="E848" t="s">
        <v>18</v>
      </c>
      <c r="F848" t="s">
        <v>108</v>
      </c>
      <c r="G848" t="s">
        <v>37</v>
      </c>
      <c r="H848">
        <v>2</v>
      </c>
      <c r="I848">
        <v>442.05</v>
      </c>
      <c r="J848">
        <v>0.05</v>
      </c>
      <c r="K848">
        <v>839.9</v>
      </c>
      <c r="L848">
        <v>560</v>
      </c>
      <c r="M848">
        <v>279.89999999999998</v>
      </c>
      <c r="N848" t="s">
        <v>33</v>
      </c>
      <c r="O848" t="s">
        <v>22</v>
      </c>
    </row>
    <row r="849" spans="1:15" x14ac:dyDescent="0.35">
      <c r="A849" t="s">
        <v>1171</v>
      </c>
      <c r="B849" s="1">
        <v>45862</v>
      </c>
      <c r="C849" t="s">
        <v>235</v>
      </c>
      <c r="D849" t="s">
        <v>58</v>
      </c>
      <c r="E849" t="s">
        <v>18</v>
      </c>
      <c r="F849" t="s">
        <v>108</v>
      </c>
      <c r="G849" t="s">
        <v>37</v>
      </c>
      <c r="H849">
        <v>4</v>
      </c>
      <c r="I849">
        <v>399.7</v>
      </c>
      <c r="J849">
        <v>0</v>
      </c>
      <c r="K849">
        <v>1598.8</v>
      </c>
      <c r="L849">
        <v>1120</v>
      </c>
      <c r="M849">
        <v>478.8</v>
      </c>
      <c r="N849" t="s">
        <v>47</v>
      </c>
      <c r="O849" t="s">
        <v>28</v>
      </c>
    </row>
    <row r="850" spans="1:15" x14ac:dyDescent="0.35">
      <c r="A850" t="s">
        <v>1172</v>
      </c>
      <c r="B850" s="1">
        <v>46013</v>
      </c>
      <c r="C850" t="s">
        <v>424</v>
      </c>
      <c r="D850" t="s">
        <v>31</v>
      </c>
      <c r="E850" t="s">
        <v>32</v>
      </c>
      <c r="F850" t="s">
        <v>108</v>
      </c>
      <c r="G850" t="s">
        <v>37</v>
      </c>
      <c r="H850">
        <v>4</v>
      </c>
      <c r="I850">
        <v>425.33</v>
      </c>
      <c r="J850">
        <v>0.1</v>
      </c>
      <c r="K850">
        <v>1531.19</v>
      </c>
      <c r="L850">
        <v>1120</v>
      </c>
      <c r="M850">
        <v>411.19</v>
      </c>
      <c r="N850" t="s">
        <v>33</v>
      </c>
      <c r="O850" t="s">
        <v>22</v>
      </c>
    </row>
    <row r="851" spans="1:15" x14ac:dyDescent="0.35">
      <c r="A851" t="s">
        <v>1173</v>
      </c>
      <c r="B851" s="1">
        <v>45983</v>
      </c>
      <c r="C851" t="s">
        <v>99</v>
      </c>
      <c r="D851" t="s">
        <v>66</v>
      </c>
      <c r="E851" t="s">
        <v>61</v>
      </c>
      <c r="F851" t="s">
        <v>108</v>
      </c>
      <c r="G851" t="s">
        <v>37</v>
      </c>
      <c r="H851">
        <v>1</v>
      </c>
      <c r="I851">
        <v>405.79</v>
      </c>
      <c r="J851">
        <v>0.05</v>
      </c>
      <c r="K851">
        <v>385.5</v>
      </c>
      <c r="L851">
        <v>280</v>
      </c>
      <c r="M851">
        <v>105.5</v>
      </c>
      <c r="N851" t="s">
        <v>21</v>
      </c>
      <c r="O851" t="s">
        <v>22</v>
      </c>
    </row>
    <row r="852" spans="1:15" x14ac:dyDescent="0.35">
      <c r="A852" t="s">
        <v>1174</v>
      </c>
      <c r="B852" s="1">
        <v>45672</v>
      </c>
      <c r="C852" t="s">
        <v>354</v>
      </c>
      <c r="D852" t="s">
        <v>50</v>
      </c>
      <c r="E852" t="s">
        <v>32</v>
      </c>
      <c r="F852" t="s">
        <v>67</v>
      </c>
      <c r="G852" t="s">
        <v>37</v>
      </c>
      <c r="H852">
        <v>5</v>
      </c>
      <c r="I852">
        <v>72.78</v>
      </c>
      <c r="J852">
        <v>0.15</v>
      </c>
      <c r="K852">
        <v>309.32</v>
      </c>
      <c r="L852">
        <v>200</v>
      </c>
      <c r="M852">
        <v>109.32</v>
      </c>
      <c r="N852" t="s">
        <v>47</v>
      </c>
      <c r="O852" t="s">
        <v>28</v>
      </c>
    </row>
    <row r="853" spans="1:15" x14ac:dyDescent="0.35">
      <c r="A853" t="s">
        <v>1175</v>
      </c>
      <c r="B853" s="1">
        <v>45933</v>
      </c>
      <c r="C853" t="s">
        <v>1176</v>
      </c>
      <c r="D853" t="s">
        <v>17</v>
      </c>
      <c r="E853" t="s">
        <v>18</v>
      </c>
      <c r="F853" t="s">
        <v>19</v>
      </c>
      <c r="G853" t="s">
        <v>20</v>
      </c>
      <c r="H853">
        <v>3</v>
      </c>
      <c r="I853">
        <v>287.89</v>
      </c>
      <c r="J853">
        <v>0.1</v>
      </c>
      <c r="K853">
        <v>777.3</v>
      </c>
      <c r="L853">
        <v>510</v>
      </c>
      <c r="M853">
        <v>267.3</v>
      </c>
      <c r="N853" t="s">
        <v>21</v>
      </c>
      <c r="O853" t="s">
        <v>28</v>
      </c>
    </row>
    <row r="854" spans="1:15" x14ac:dyDescent="0.35">
      <c r="A854" t="s">
        <v>1177</v>
      </c>
      <c r="B854" s="1">
        <v>45725</v>
      </c>
      <c r="C854" t="s">
        <v>438</v>
      </c>
      <c r="D854" t="s">
        <v>50</v>
      </c>
      <c r="E854" t="s">
        <v>32</v>
      </c>
      <c r="F854" t="s">
        <v>19</v>
      </c>
      <c r="G854" t="s">
        <v>20</v>
      </c>
      <c r="H854">
        <v>2</v>
      </c>
      <c r="I854">
        <v>276.69</v>
      </c>
      <c r="J854">
        <v>0.1</v>
      </c>
      <c r="K854">
        <v>498.04</v>
      </c>
      <c r="L854">
        <v>340</v>
      </c>
      <c r="M854">
        <v>158.04</v>
      </c>
      <c r="N854" t="s">
        <v>38</v>
      </c>
      <c r="O854" t="s">
        <v>42</v>
      </c>
    </row>
    <row r="855" spans="1:15" x14ac:dyDescent="0.35">
      <c r="A855" t="s">
        <v>1178</v>
      </c>
      <c r="B855" s="1">
        <v>45983</v>
      </c>
      <c r="C855" t="s">
        <v>1032</v>
      </c>
      <c r="D855" t="s">
        <v>45</v>
      </c>
      <c r="E855" t="s">
        <v>46</v>
      </c>
      <c r="F855" t="s">
        <v>19</v>
      </c>
      <c r="G855" t="s">
        <v>20</v>
      </c>
      <c r="H855">
        <v>3</v>
      </c>
      <c r="I855">
        <v>293.77</v>
      </c>
      <c r="J855">
        <v>0</v>
      </c>
      <c r="K855">
        <v>881.31</v>
      </c>
      <c r="L855">
        <v>510</v>
      </c>
      <c r="M855">
        <v>371.31</v>
      </c>
      <c r="N855" t="s">
        <v>21</v>
      </c>
      <c r="O855" t="s">
        <v>22</v>
      </c>
    </row>
    <row r="856" spans="1:15" x14ac:dyDescent="0.35">
      <c r="A856" t="s">
        <v>1179</v>
      </c>
      <c r="B856" s="1">
        <v>45816</v>
      </c>
      <c r="C856" t="s">
        <v>589</v>
      </c>
      <c r="D856" t="s">
        <v>66</v>
      </c>
      <c r="E856" t="s">
        <v>61</v>
      </c>
      <c r="F856" t="s">
        <v>108</v>
      </c>
      <c r="G856" t="s">
        <v>37</v>
      </c>
      <c r="H856">
        <v>2</v>
      </c>
      <c r="I856">
        <v>420.45</v>
      </c>
      <c r="J856">
        <v>0</v>
      </c>
      <c r="K856">
        <v>840.9</v>
      </c>
      <c r="L856">
        <v>560</v>
      </c>
      <c r="M856">
        <v>280.89999999999998</v>
      </c>
      <c r="N856" t="s">
        <v>47</v>
      </c>
      <c r="O856" t="s">
        <v>22</v>
      </c>
    </row>
    <row r="857" spans="1:15" x14ac:dyDescent="0.35">
      <c r="A857" t="s">
        <v>1180</v>
      </c>
      <c r="B857" s="1">
        <v>45826</v>
      </c>
      <c r="C857" t="s">
        <v>1042</v>
      </c>
      <c r="D857" t="s">
        <v>50</v>
      </c>
      <c r="E857" t="s">
        <v>32</v>
      </c>
      <c r="F857" t="s">
        <v>51</v>
      </c>
      <c r="G857" t="s">
        <v>37</v>
      </c>
      <c r="H857">
        <v>3</v>
      </c>
      <c r="I857">
        <v>254.7</v>
      </c>
      <c r="J857">
        <v>0</v>
      </c>
      <c r="K857">
        <v>764.1</v>
      </c>
      <c r="L857">
        <v>450</v>
      </c>
      <c r="M857">
        <v>314.10000000000002</v>
      </c>
      <c r="N857" t="s">
        <v>21</v>
      </c>
      <c r="O857" t="s">
        <v>28</v>
      </c>
    </row>
    <row r="858" spans="1:15" x14ac:dyDescent="0.35">
      <c r="A858" t="s">
        <v>1181</v>
      </c>
      <c r="B858" s="1">
        <v>45813</v>
      </c>
      <c r="C858" t="s">
        <v>570</v>
      </c>
      <c r="D858" t="s">
        <v>50</v>
      </c>
      <c r="E858" t="s">
        <v>32</v>
      </c>
      <c r="F858" t="s">
        <v>41</v>
      </c>
      <c r="G858" t="s">
        <v>37</v>
      </c>
      <c r="H858">
        <v>1</v>
      </c>
      <c r="I858">
        <v>866.69</v>
      </c>
      <c r="J858">
        <v>0</v>
      </c>
      <c r="K858">
        <v>866.69</v>
      </c>
      <c r="L858">
        <v>600</v>
      </c>
      <c r="M858">
        <v>266.69</v>
      </c>
      <c r="N858" t="s">
        <v>33</v>
      </c>
      <c r="O858" t="s">
        <v>28</v>
      </c>
    </row>
    <row r="859" spans="1:15" x14ac:dyDescent="0.35">
      <c r="A859" t="s">
        <v>1182</v>
      </c>
      <c r="B859" s="1">
        <v>45702</v>
      </c>
      <c r="C859" t="s">
        <v>703</v>
      </c>
      <c r="D859" t="s">
        <v>60</v>
      </c>
      <c r="E859" t="s">
        <v>61</v>
      </c>
      <c r="F859" t="s">
        <v>27</v>
      </c>
      <c r="G859" t="s">
        <v>20</v>
      </c>
      <c r="H859">
        <v>2</v>
      </c>
      <c r="I859">
        <v>193.11</v>
      </c>
      <c r="J859">
        <v>0.05</v>
      </c>
      <c r="K859">
        <v>366.91</v>
      </c>
      <c r="L859">
        <v>220</v>
      </c>
      <c r="M859">
        <v>146.91</v>
      </c>
      <c r="N859" t="s">
        <v>47</v>
      </c>
      <c r="O859" t="s">
        <v>28</v>
      </c>
    </row>
    <row r="860" spans="1:15" x14ac:dyDescent="0.35">
      <c r="A860" t="s">
        <v>1183</v>
      </c>
      <c r="B860" s="1">
        <v>45967</v>
      </c>
      <c r="C860" t="s">
        <v>233</v>
      </c>
      <c r="D860" t="s">
        <v>45</v>
      </c>
      <c r="E860" t="s">
        <v>46</v>
      </c>
      <c r="F860" t="s">
        <v>108</v>
      </c>
      <c r="G860" t="s">
        <v>37</v>
      </c>
      <c r="H860">
        <v>1</v>
      </c>
      <c r="I860">
        <v>427.9</v>
      </c>
      <c r="J860">
        <v>0.1</v>
      </c>
      <c r="K860">
        <v>385.11</v>
      </c>
      <c r="L860">
        <v>280</v>
      </c>
      <c r="M860">
        <v>105.11</v>
      </c>
      <c r="N860" t="s">
        <v>21</v>
      </c>
      <c r="O860" t="s">
        <v>42</v>
      </c>
    </row>
    <row r="861" spans="1:15" x14ac:dyDescent="0.35">
      <c r="A861" t="s">
        <v>1184</v>
      </c>
      <c r="B861" s="1">
        <v>45893</v>
      </c>
      <c r="C861" t="s">
        <v>90</v>
      </c>
      <c r="D861" t="s">
        <v>45</v>
      </c>
      <c r="E861" t="s">
        <v>46</v>
      </c>
      <c r="F861" t="s">
        <v>78</v>
      </c>
      <c r="G861" t="s">
        <v>20</v>
      </c>
      <c r="H861">
        <v>1</v>
      </c>
      <c r="I861">
        <v>344.73</v>
      </c>
      <c r="J861">
        <v>0.1</v>
      </c>
      <c r="K861">
        <v>310.26</v>
      </c>
      <c r="L861">
        <v>200</v>
      </c>
      <c r="M861">
        <v>110.26</v>
      </c>
      <c r="N861" t="s">
        <v>21</v>
      </c>
      <c r="O861" t="s">
        <v>22</v>
      </c>
    </row>
    <row r="862" spans="1:15" x14ac:dyDescent="0.35">
      <c r="A862" t="s">
        <v>1185</v>
      </c>
      <c r="B862" s="1">
        <v>45710</v>
      </c>
      <c r="C862" t="s">
        <v>395</v>
      </c>
      <c r="D862" t="s">
        <v>45</v>
      </c>
      <c r="E862" t="s">
        <v>46</v>
      </c>
      <c r="F862" t="s">
        <v>78</v>
      </c>
      <c r="G862" t="s">
        <v>20</v>
      </c>
      <c r="H862">
        <v>1</v>
      </c>
      <c r="I862">
        <v>347.23</v>
      </c>
      <c r="J862">
        <v>0</v>
      </c>
      <c r="K862">
        <v>347.23</v>
      </c>
      <c r="L862">
        <v>200</v>
      </c>
      <c r="M862">
        <v>147.22999999999999</v>
      </c>
      <c r="N862" t="s">
        <v>47</v>
      </c>
      <c r="O862" t="s">
        <v>22</v>
      </c>
    </row>
    <row r="863" spans="1:15" x14ac:dyDescent="0.35">
      <c r="A863" t="s">
        <v>1186</v>
      </c>
      <c r="B863" s="1">
        <v>45897</v>
      </c>
      <c r="C863" t="s">
        <v>75</v>
      </c>
      <c r="D863" t="s">
        <v>58</v>
      </c>
      <c r="E863" t="s">
        <v>18</v>
      </c>
      <c r="F863" t="s">
        <v>19</v>
      </c>
      <c r="G863" t="s">
        <v>20</v>
      </c>
      <c r="H863">
        <v>4</v>
      </c>
      <c r="I863">
        <v>280.89</v>
      </c>
      <c r="J863">
        <v>0.1</v>
      </c>
      <c r="K863">
        <v>1011.2</v>
      </c>
      <c r="L863">
        <v>680</v>
      </c>
      <c r="M863">
        <v>331.2</v>
      </c>
      <c r="N863" t="s">
        <v>38</v>
      </c>
      <c r="O863" t="s">
        <v>42</v>
      </c>
    </row>
    <row r="864" spans="1:15" x14ac:dyDescent="0.35">
      <c r="A864" t="s">
        <v>1187</v>
      </c>
      <c r="B864" s="1">
        <v>45913</v>
      </c>
      <c r="C864" t="s">
        <v>456</v>
      </c>
      <c r="D864" t="s">
        <v>66</v>
      </c>
      <c r="E864" t="s">
        <v>61</v>
      </c>
      <c r="F864" t="s">
        <v>78</v>
      </c>
      <c r="G864" t="s">
        <v>20</v>
      </c>
      <c r="H864">
        <v>3</v>
      </c>
      <c r="I864">
        <v>315.45999999999998</v>
      </c>
      <c r="J864">
        <v>0.05</v>
      </c>
      <c r="K864">
        <v>899.06</v>
      </c>
      <c r="L864">
        <v>600</v>
      </c>
      <c r="M864">
        <v>299.06</v>
      </c>
      <c r="N864" t="s">
        <v>47</v>
      </c>
      <c r="O864" t="s">
        <v>28</v>
      </c>
    </row>
    <row r="865" spans="1:15" x14ac:dyDescent="0.35">
      <c r="A865" t="s">
        <v>1188</v>
      </c>
      <c r="B865" s="1">
        <v>45902</v>
      </c>
      <c r="C865" t="s">
        <v>678</v>
      </c>
      <c r="D865" t="s">
        <v>66</v>
      </c>
      <c r="E865" t="s">
        <v>61</v>
      </c>
      <c r="F865" t="s">
        <v>108</v>
      </c>
      <c r="G865" t="s">
        <v>37</v>
      </c>
      <c r="H865">
        <v>4</v>
      </c>
      <c r="I865">
        <v>431.38</v>
      </c>
      <c r="J865">
        <v>0</v>
      </c>
      <c r="K865">
        <v>1725.52</v>
      </c>
      <c r="L865">
        <v>1120</v>
      </c>
      <c r="M865">
        <v>605.52</v>
      </c>
      <c r="N865" t="s">
        <v>21</v>
      </c>
      <c r="O865" t="s">
        <v>28</v>
      </c>
    </row>
    <row r="866" spans="1:15" x14ac:dyDescent="0.35">
      <c r="A866" t="s">
        <v>1189</v>
      </c>
      <c r="B866" s="1">
        <v>45690</v>
      </c>
      <c r="C866" t="s">
        <v>721</v>
      </c>
      <c r="D866" t="s">
        <v>60</v>
      </c>
      <c r="E866" t="s">
        <v>61</v>
      </c>
      <c r="F866" t="s">
        <v>27</v>
      </c>
      <c r="G866" t="s">
        <v>20</v>
      </c>
      <c r="H866">
        <v>1</v>
      </c>
      <c r="I866">
        <v>202.3</v>
      </c>
      <c r="J866">
        <v>0</v>
      </c>
      <c r="K866">
        <v>202.3</v>
      </c>
      <c r="L866">
        <v>110</v>
      </c>
      <c r="M866">
        <v>92.3</v>
      </c>
      <c r="N866" t="s">
        <v>21</v>
      </c>
      <c r="O866" t="s">
        <v>22</v>
      </c>
    </row>
    <row r="867" spans="1:15" x14ac:dyDescent="0.35">
      <c r="A867" t="s">
        <v>1190</v>
      </c>
      <c r="B867" s="1">
        <v>45901</v>
      </c>
      <c r="C867" t="s">
        <v>426</v>
      </c>
      <c r="D867" t="s">
        <v>58</v>
      </c>
      <c r="E867" t="s">
        <v>18</v>
      </c>
      <c r="F867" t="s">
        <v>19</v>
      </c>
      <c r="G867" t="s">
        <v>20</v>
      </c>
      <c r="H867">
        <v>4</v>
      </c>
      <c r="I867">
        <v>280.58</v>
      </c>
      <c r="J867">
        <v>0</v>
      </c>
      <c r="K867">
        <v>1122.32</v>
      </c>
      <c r="L867">
        <v>680</v>
      </c>
      <c r="M867">
        <v>442.32</v>
      </c>
      <c r="N867" t="s">
        <v>21</v>
      </c>
      <c r="O867" t="s">
        <v>28</v>
      </c>
    </row>
    <row r="868" spans="1:15" x14ac:dyDescent="0.35">
      <c r="A868" t="s">
        <v>1191</v>
      </c>
      <c r="B868" s="1">
        <v>45903</v>
      </c>
      <c r="C868" t="s">
        <v>97</v>
      </c>
      <c r="D868" t="s">
        <v>60</v>
      </c>
      <c r="E868" t="s">
        <v>61</v>
      </c>
      <c r="F868" t="s">
        <v>78</v>
      </c>
      <c r="G868" t="s">
        <v>20</v>
      </c>
      <c r="H868">
        <v>6</v>
      </c>
      <c r="I868">
        <v>321.35000000000002</v>
      </c>
      <c r="J868">
        <v>0.05</v>
      </c>
      <c r="K868">
        <v>1831.7</v>
      </c>
      <c r="L868">
        <v>1200</v>
      </c>
      <c r="M868">
        <v>631.70000000000005</v>
      </c>
      <c r="N868" t="s">
        <v>21</v>
      </c>
      <c r="O868" t="s">
        <v>42</v>
      </c>
    </row>
    <row r="869" spans="1:15" x14ac:dyDescent="0.35">
      <c r="A869" t="s">
        <v>1192</v>
      </c>
      <c r="B869" s="1">
        <v>45856</v>
      </c>
      <c r="C869" t="s">
        <v>375</v>
      </c>
      <c r="D869" t="s">
        <v>45</v>
      </c>
      <c r="E869" t="s">
        <v>46</v>
      </c>
      <c r="F869" t="s">
        <v>67</v>
      </c>
      <c r="G869" t="s">
        <v>37</v>
      </c>
      <c r="H869">
        <v>1</v>
      </c>
      <c r="I869">
        <v>77.52</v>
      </c>
      <c r="J869">
        <v>0.05</v>
      </c>
      <c r="K869">
        <v>73.64</v>
      </c>
      <c r="L869">
        <v>40</v>
      </c>
      <c r="M869">
        <v>33.64</v>
      </c>
      <c r="N869" t="s">
        <v>21</v>
      </c>
      <c r="O869" t="s">
        <v>28</v>
      </c>
    </row>
    <row r="870" spans="1:15" x14ac:dyDescent="0.35">
      <c r="A870" t="s">
        <v>1193</v>
      </c>
      <c r="B870" s="1">
        <v>45709</v>
      </c>
      <c r="C870" t="s">
        <v>1194</v>
      </c>
      <c r="D870" t="s">
        <v>31</v>
      </c>
      <c r="E870" t="s">
        <v>32</v>
      </c>
      <c r="F870" t="s">
        <v>27</v>
      </c>
      <c r="G870" t="s">
        <v>20</v>
      </c>
      <c r="H870">
        <v>1</v>
      </c>
      <c r="I870">
        <v>193.75</v>
      </c>
      <c r="J870">
        <v>0</v>
      </c>
      <c r="K870">
        <v>193.75</v>
      </c>
      <c r="L870">
        <v>110</v>
      </c>
      <c r="M870">
        <v>83.75</v>
      </c>
      <c r="N870" t="s">
        <v>33</v>
      </c>
      <c r="O870" t="s">
        <v>22</v>
      </c>
    </row>
    <row r="871" spans="1:15" x14ac:dyDescent="0.35">
      <c r="A871" t="s">
        <v>1195</v>
      </c>
      <c r="B871" s="1">
        <v>46000</v>
      </c>
      <c r="C871" t="s">
        <v>574</v>
      </c>
      <c r="D871" t="s">
        <v>50</v>
      </c>
      <c r="E871" t="s">
        <v>32</v>
      </c>
      <c r="F871" t="s">
        <v>51</v>
      </c>
      <c r="G871" t="s">
        <v>37</v>
      </c>
      <c r="H871">
        <v>1</v>
      </c>
      <c r="I871">
        <v>239.51</v>
      </c>
      <c r="J871">
        <v>0.1</v>
      </c>
      <c r="K871">
        <v>215.56</v>
      </c>
      <c r="L871">
        <v>150</v>
      </c>
      <c r="M871">
        <v>65.56</v>
      </c>
      <c r="N871" t="s">
        <v>38</v>
      </c>
      <c r="O871" t="s">
        <v>28</v>
      </c>
    </row>
    <row r="872" spans="1:15" x14ac:dyDescent="0.35">
      <c r="A872" t="s">
        <v>1196</v>
      </c>
      <c r="B872" s="1">
        <v>45788</v>
      </c>
      <c r="C872" t="s">
        <v>640</v>
      </c>
      <c r="D872" t="s">
        <v>31</v>
      </c>
      <c r="E872" t="s">
        <v>32</v>
      </c>
      <c r="F872" t="s">
        <v>78</v>
      </c>
      <c r="G872" t="s">
        <v>20</v>
      </c>
      <c r="H872">
        <v>5</v>
      </c>
      <c r="I872">
        <v>336.93</v>
      </c>
      <c r="J872">
        <v>0.05</v>
      </c>
      <c r="K872">
        <v>1600.42</v>
      </c>
      <c r="L872">
        <v>1000</v>
      </c>
      <c r="M872">
        <v>600.41999999999996</v>
      </c>
      <c r="N872" t="s">
        <v>21</v>
      </c>
      <c r="O872" t="s">
        <v>42</v>
      </c>
    </row>
    <row r="873" spans="1:15" x14ac:dyDescent="0.35">
      <c r="A873" t="s">
        <v>1197</v>
      </c>
      <c r="B873" s="1">
        <v>45876</v>
      </c>
      <c r="C873" t="s">
        <v>554</v>
      </c>
      <c r="D873" t="s">
        <v>60</v>
      </c>
      <c r="E873" t="s">
        <v>61</v>
      </c>
      <c r="F873" t="s">
        <v>36</v>
      </c>
      <c r="G873" t="s">
        <v>37</v>
      </c>
      <c r="H873">
        <v>2</v>
      </c>
      <c r="I873">
        <v>124.76</v>
      </c>
      <c r="J873">
        <v>0</v>
      </c>
      <c r="K873">
        <v>249.52</v>
      </c>
      <c r="L873">
        <v>120</v>
      </c>
      <c r="M873">
        <v>129.52000000000001</v>
      </c>
      <c r="N873" t="s">
        <v>33</v>
      </c>
      <c r="O873" t="s">
        <v>28</v>
      </c>
    </row>
    <row r="874" spans="1:15" x14ac:dyDescent="0.35">
      <c r="A874" t="s">
        <v>1198</v>
      </c>
      <c r="B874" s="1">
        <v>45815</v>
      </c>
      <c r="C874" t="s">
        <v>981</v>
      </c>
      <c r="D874" t="s">
        <v>17</v>
      </c>
      <c r="E874" t="s">
        <v>18</v>
      </c>
      <c r="F874" t="s">
        <v>19</v>
      </c>
      <c r="G874" t="s">
        <v>20</v>
      </c>
      <c r="H874">
        <v>1</v>
      </c>
      <c r="I874">
        <v>271.25</v>
      </c>
      <c r="J874">
        <v>0.1</v>
      </c>
      <c r="K874">
        <v>244.12</v>
      </c>
      <c r="L874">
        <v>170</v>
      </c>
      <c r="M874">
        <v>74.12</v>
      </c>
      <c r="N874" t="s">
        <v>47</v>
      </c>
      <c r="O874" t="s">
        <v>22</v>
      </c>
    </row>
    <row r="875" spans="1:15" x14ac:dyDescent="0.35">
      <c r="A875" t="s">
        <v>1199</v>
      </c>
      <c r="B875" s="1">
        <v>45666</v>
      </c>
      <c r="C875" t="s">
        <v>266</v>
      </c>
      <c r="D875" t="s">
        <v>50</v>
      </c>
      <c r="E875" t="s">
        <v>32</v>
      </c>
      <c r="F875" t="s">
        <v>67</v>
      </c>
      <c r="G875" t="s">
        <v>37</v>
      </c>
      <c r="H875">
        <v>1</v>
      </c>
      <c r="I875">
        <v>73.47</v>
      </c>
      <c r="J875">
        <v>0.15</v>
      </c>
      <c r="K875">
        <v>62.45</v>
      </c>
      <c r="L875">
        <v>40</v>
      </c>
      <c r="M875">
        <v>22.45</v>
      </c>
      <c r="N875" t="s">
        <v>21</v>
      </c>
      <c r="O875" t="s">
        <v>22</v>
      </c>
    </row>
    <row r="876" spans="1:15" x14ac:dyDescent="0.35">
      <c r="A876" t="s">
        <v>1200</v>
      </c>
      <c r="B876" s="1">
        <v>45798</v>
      </c>
      <c r="C876" t="s">
        <v>86</v>
      </c>
      <c r="D876" t="s">
        <v>25</v>
      </c>
      <c r="E876" t="s">
        <v>26</v>
      </c>
      <c r="F876" t="s">
        <v>51</v>
      </c>
      <c r="G876" t="s">
        <v>37</v>
      </c>
      <c r="H876">
        <v>2</v>
      </c>
      <c r="I876">
        <v>258.70999999999998</v>
      </c>
      <c r="J876">
        <v>0</v>
      </c>
      <c r="K876">
        <v>517.41999999999996</v>
      </c>
      <c r="L876">
        <v>300</v>
      </c>
      <c r="M876">
        <v>217.42</v>
      </c>
      <c r="N876" t="s">
        <v>21</v>
      </c>
      <c r="O876" t="s">
        <v>42</v>
      </c>
    </row>
    <row r="877" spans="1:15" x14ac:dyDescent="0.35">
      <c r="A877" t="s">
        <v>1201</v>
      </c>
      <c r="B877" s="1">
        <v>45667</v>
      </c>
      <c r="C877" t="s">
        <v>93</v>
      </c>
      <c r="D877" t="s">
        <v>17</v>
      </c>
      <c r="E877" t="s">
        <v>18</v>
      </c>
      <c r="F877" t="s">
        <v>67</v>
      </c>
      <c r="G877" t="s">
        <v>37</v>
      </c>
      <c r="H877">
        <v>3</v>
      </c>
      <c r="I877">
        <v>79.67</v>
      </c>
      <c r="J877">
        <v>0.05</v>
      </c>
      <c r="K877">
        <v>227.06</v>
      </c>
      <c r="L877">
        <v>120</v>
      </c>
      <c r="M877">
        <v>107.06</v>
      </c>
      <c r="N877" t="s">
        <v>47</v>
      </c>
      <c r="O877" t="s">
        <v>28</v>
      </c>
    </row>
    <row r="878" spans="1:15" x14ac:dyDescent="0.35">
      <c r="A878" t="s">
        <v>1202</v>
      </c>
      <c r="B878" s="1">
        <v>45997</v>
      </c>
      <c r="C878" t="s">
        <v>93</v>
      </c>
      <c r="D878" t="s">
        <v>60</v>
      </c>
      <c r="E878" t="s">
        <v>61</v>
      </c>
      <c r="F878" t="s">
        <v>67</v>
      </c>
      <c r="G878" t="s">
        <v>37</v>
      </c>
      <c r="H878">
        <v>3</v>
      </c>
      <c r="I878">
        <v>71.430000000000007</v>
      </c>
      <c r="J878">
        <v>0.05</v>
      </c>
      <c r="K878">
        <v>203.58</v>
      </c>
      <c r="L878">
        <v>120</v>
      </c>
      <c r="M878">
        <v>83.58</v>
      </c>
      <c r="N878" t="s">
        <v>21</v>
      </c>
      <c r="O878" t="s">
        <v>42</v>
      </c>
    </row>
    <row r="879" spans="1:15" x14ac:dyDescent="0.35">
      <c r="A879" t="s">
        <v>1203</v>
      </c>
      <c r="B879" s="1">
        <v>46009</v>
      </c>
      <c r="C879" t="s">
        <v>183</v>
      </c>
      <c r="D879" t="s">
        <v>60</v>
      </c>
      <c r="E879" t="s">
        <v>61</v>
      </c>
      <c r="F879" t="s">
        <v>78</v>
      </c>
      <c r="G879" t="s">
        <v>20</v>
      </c>
      <c r="H879">
        <v>1</v>
      </c>
      <c r="I879">
        <v>345.86</v>
      </c>
      <c r="J879">
        <v>0.05</v>
      </c>
      <c r="K879">
        <v>328.57</v>
      </c>
      <c r="L879">
        <v>200</v>
      </c>
      <c r="M879">
        <v>128.57</v>
      </c>
      <c r="N879" t="s">
        <v>33</v>
      </c>
      <c r="O879" t="s">
        <v>28</v>
      </c>
    </row>
    <row r="880" spans="1:15" x14ac:dyDescent="0.35">
      <c r="A880" t="s">
        <v>1204</v>
      </c>
      <c r="B880" s="1">
        <v>45775</v>
      </c>
      <c r="C880" t="s">
        <v>179</v>
      </c>
      <c r="D880" t="s">
        <v>31</v>
      </c>
      <c r="E880" t="s">
        <v>32</v>
      </c>
      <c r="F880" t="s">
        <v>108</v>
      </c>
      <c r="G880" t="s">
        <v>37</v>
      </c>
      <c r="H880">
        <v>5</v>
      </c>
      <c r="I880">
        <v>429.35</v>
      </c>
      <c r="J880">
        <v>0.05</v>
      </c>
      <c r="K880">
        <v>2039.41</v>
      </c>
      <c r="L880">
        <v>1400</v>
      </c>
      <c r="M880">
        <v>639.41</v>
      </c>
      <c r="N880" t="s">
        <v>47</v>
      </c>
      <c r="O880" t="s">
        <v>42</v>
      </c>
    </row>
    <row r="881" spans="1:15" x14ac:dyDescent="0.35">
      <c r="A881" t="s">
        <v>1205</v>
      </c>
      <c r="B881" s="1">
        <v>45927</v>
      </c>
      <c r="C881" t="s">
        <v>435</v>
      </c>
      <c r="D881" t="s">
        <v>50</v>
      </c>
      <c r="E881" t="s">
        <v>32</v>
      </c>
      <c r="F881" t="s">
        <v>27</v>
      </c>
      <c r="G881" t="s">
        <v>20</v>
      </c>
      <c r="H881">
        <v>2</v>
      </c>
      <c r="I881">
        <v>190.09</v>
      </c>
      <c r="J881">
        <v>0</v>
      </c>
      <c r="K881">
        <v>380.18</v>
      </c>
      <c r="L881">
        <v>220</v>
      </c>
      <c r="M881">
        <v>160.18</v>
      </c>
      <c r="N881" t="s">
        <v>33</v>
      </c>
      <c r="O881" t="s">
        <v>28</v>
      </c>
    </row>
    <row r="882" spans="1:15" x14ac:dyDescent="0.35">
      <c r="A882" t="s">
        <v>1206</v>
      </c>
      <c r="B882" s="1">
        <v>45985</v>
      </c>
      <c r="C882" t="s">
        <v>103</v>
      </c>
      <c r="D882" t="s">
        <v>17</v>
      </c>
      <c r="E882" t="s">
        <v>18</v>
      </c>
      <c r="F882" t="s">
        <v>51</v>
      </c>
      <c r="G882" t="s">
        <v>37</v>
      </c>
      <c r="H882">
        <v>3</v>
      </c>
      <c r="I882">
        <v>243.72</v>
      </c>
      <c r="J882">
        <v>0</v>
      </c>
      <c r="K882">
        <v>731.16</v>
      </c>
      <c r="L882">
        <v>450</v>
      </c>
      <c r="M882">
        <v>281.16000000000003</v>
      </c>
      <c r="N882" t="s">
        <v>47</v>
      </c>
      <c r="O882" t="s">
        <v>42</v>
      </c>
    </row>
    <row r="883" spans="1:15" x14ac:dyDescent="0.35">
      <c r="A883" t="s">
        <v>1207</v>
      </c>
      <c r="B883" s="1">
        <v>46003</v>
      </c>
      <c r="C883" t="s">
        <v>264</v>
      </c>
      <c r="D883" t="s">
        <v>60</v>
      </c>
      <c r="E883" t="s">
        <v>61</v>
      </c>
      <c r="F883" t="s">
        <v>51</v>
      </c>
      <c r="G883" t="s">
        <v>37</v>
      </c>
      <c r="H883">
        <v>2</v>
      </c>
      <c r="I883">
        <v>241.5</v>
      </c>
      <c r="J883">
        <v>0.1</v>
      </c>
      <c r="K883">
        <v>434.7</v>
      </c>
      <c r="L883">
        <v>300</v>
      </c>
      <c r="M883">
        <v>134.69999999999999</v>
      </c>
      <c r="N883" t="s">
        <v>21</v>
      </c>
      <c r="O883" t="s">
        <v>42</v>
      </c>
    </row>
    <row r="884" spans="1:15" x14ac:dyDescent="0.35">
      <c r="A884" t="s">
        <v>1208</v>
      </c>
      <c r="B884" s="1">
        <v>45668</v>
      </c>
      <c r="C884" t="s">
        <v>153</v>
      </c>
      <c r="D884" t="s">
        <v>58</v>
      </c>
      <c r="E884" t="s">
        <v>18</v>
      </c>
      <c r="F884" t="s">
        <v>78</v>
      </c>
      <c r="G884" t="s">
        <v>20</v>
      </c>
      <c r="H884">
        <v>2</v>
      </c>
      <c r="I884">
        <v>312.58999999999997</v>
      </c>
      <c r="J884">
        <v>0</v>
      </c>
      <c r="K884">
        <v>625.17999999999995</v>
      </c>
      <c r="L884">
        <v>400</v>
      </c>
      <c r="M884">
        <v>225.18</v>
      </c>
      <c r="N884" t="s">
        <v>47</v>
      </c>
      <c r="O884" t="s">
        <v>28</v>
      </c>
    </row>
    <row r="885" spans="1:15" x14ac:dyDescent="0.35">
      <c r="A885" t="s">
        <v>1209</v>
      </c>
      <c r="B885" s="1">
        <v>45795</v>
      </c>
      <c r="C885" t="s">
        <v>568</v>
      </c>
      <c r="D885" t="s">
        <v>45</v>
      </c>
      <c r="E885" t="s">
        <v>46</v>
      </c>
      <c r="F885" t="s">
        <v>19</v>
      </c>
      <c r="G885" t="s">
        <v>20</v>
      </c>
      <c r="H885">
        <v>4</v>
      </c>
      <c r="I885">
        <v>269.70999999999998</v>
      </c>
      <c r="J885">
        <v>0</v>
      </c>
      <c r="K885">
        <v>1078.8399999999999</v>
      </c>
      <c r="L885">
        <v>680</v>
      </c>
      <c r="M885">
        <v>398.84</v>
      </c>
      <c r="N885" t="s">
        <v>21</v>
      </c>
      <c r="O885" t="s">
        <v>28</v>
      </c>
    </row>
    <row r="886" spans="1:15" x14ac:dyDescent="0.35">
      <c r="A886" t="s">
        <v>1210</v>
      </c>
      <c r="B886" s="1">
        <v>45987</v>
      </c>
      <c r="C886" t="s">
        <v>422</v>
      </c>
      <c r="D886" t="s">
        <v>31</v>
      </c>
      <c r="E886" t="s">
        <v>32</v>
      </c>
      <c r="F886" t="s">
        <v>67</v>
      </c>
      <c r="G886" t="s">
        <v>37</v>
      </c>
      <c r="H886">
        <v>2</v>
      </c>
      <c r="I886">
        <v>77.72</v>
      </c>
      <c r="J886">
        <v>0.05</v>
      </c>
      <c r="K886">
        <v>147.66999999999999</v>
      </c>
      <c r="L886">
        <v>80</v>
      </c>
      <c r="M886">
        <v>67.67</v>
      </c>
      <c r="N886" t="s">
        <v>47</v>
      </c>
      <c r="O886" t="s">
        <v>42</v>
      </c>
    </row>
    <row r="887" spans="1:15" x14ac:dyDescent="0.35">
      <c r="A887" t="s">
        <v>1211</v>
      </c>
      <c r="B887" s="1">
        <v>45776</v>
      </c>
      <c r="C887" t="s">
        <v>253</v>
      </c>
      <c r="D887" t="s">
        <v>58</v>
      </c>
      <c r="E887" t="s">
        <v>18</v>
      </c>
      <c r="F887" t="s">
        <v>108</v>
      </c>
      <c r="G887" t="s">
        <v>37</v>
      </c>
      <c r="H887">
        <v>3</v>
      </c>
      <c r="I887">
        <v>442.01</v>
      </c>
      <c r="J887">
        <v>0</v>
      </c>
      <c r="K887">
        <v>1326.03</v>
      </c>
      <c r="L887">
        <v>840</v>
      </c>
      <c r="M887">
        <v>486.03</v>
      </c>
      <c r="N887" t="s">
        <v>21</v>
      </c>
      <c r="O887" t="s">
        <v>28</v>
      </c>
    </row>
    <row r="888" spans="1:15" x14ac:dyDescent="0.35">
      <c r="A888" t="s">
        <v>1212</v>
      </c>
      <c r="B888" s="1">
        <v>45749</v>
      </c>
      <c r="C888" t="s">
        <v>787</v>
      </c>
      <c r="D888" t="s">
        <v>45</v>
      </c>
      <c r="E888" t="s">
        <v>46</v>
      </c>
      <c r="F888" t="s">
        <v>51</v>
      </c>
      <c r="G888" t="s">
        <v>37</v>
      </c>
      <c r="H888">
        <v>4</v>
      </c>
      <c r="I888">
        <v>252.47</v>
      </c>
      <c r="J888">
        <v>0.05</v>
      </c>
      <c r="K888">
        <v>959.39</v>
      </c>
      <c r="L888">
        <v>600</v>
      </c>
      <c r="M888">
        <v>359.39</v>
      </c>
      <c r="N888" t="s">
        <v>21</v>
      </c>
      <c r="O888" t="s">
        <v>42</v>
      </c>
    </row>
    <row r="889" spans="1:15" x14ac:dyDescent="0.35">
      <c r="A889" t="s">
        <v>1213</v>
      </c>
      <c r="B889" s="1">
        <v>45935</v>
      </c>
      <c r="C889" t="s">
        <v>395</v>
      </c>
      <c r="D889" t="s">
        <v>60</v>
      </c>
      <c r="E889" t="s">
        <v>61</v>
      </c>
      <c r="F889" t="s">
        <v>41</v>
      </c>
      <c r="G889" t="s">
        <v>37</v>
      </c>
      <c r="H889">
        <v>2</v>
      </c>
      <c r="I889">
        <v>838.73</v>
      </c>
      <c r="J889">
        <v>0.15</v>
      </c>
      <c r="K889">
        <v>1425.84</v>
      </c>
      <c r="L889">
        <v>1200</v>
      </c>
      <c r="M889">
        <v>225.84</v>
      </c>
      <c r="N889" t="s">
        <v>47</v>
      </c>
      <c r="O889" t="s">
        <v>42</v>
      </c>
    </row>
    <row r="890" spans="1:15" x14ac:dyDescent="0.35">
      <c r="A890" t="s">
        <v>1214</v>
      </c>
      <c r="B890" s="1">
        <v>45743</v>
      </c>
      <c r="C890" t="s">
        <v>214</v>
      </c>
      <c r="D890" t="s">
        <v>66</v>
      </c>
      <c r="E890" t="s">
        <v>61</v>
      </c>
      <c r="F890" t="s">
        <v>36</v>
      </c>
      <c r="G890" t="s">
        <v>37</v>
      </c>
      <c r="H890">
        <v>4</v>
      </c>
      <c r="I890">
        <v>124.44</v>
      </c>
      <c r="J890">
        <v>0.05</v>
      </c>
      <c r="K890">
        <v>472.87</v>
      </c>
      <c r="L890">
        <v>240</v>
      </c>
      <c r="M890">
        <v>232.87</v>
      </c>
      <c r="N890" t="s">
        <v>33</v>
      </c>
      <c r="O890" t="s">
        <v>28</v>
      </c>
    </row>
    <row r="891" spans="1:15" x14ac:dyDescent="0.35">
      <c r="A891" t="s">
        <v>1215</v>
      </c>
      <c r="B891" s="1">
        <v>45977</v>
      </c>
      <c r="C891" t="s">
        <v>477</v>
      </c>
      <c r="D891" t="s">
        <v>45</v>
      </c>
      <c r="E891" t="s">
        <v>46</v>
      </c>
      <c r="F891" t="s">
        <v>67</v>
      </c>
      <c r="G891" t="s">
        <v>37</v>
      </c>
      <c r="H891">
        <v>1</v>
      </c>
      <c r="I891">
        <v>77.349999999999994</v>
      </c>
      <c r="J891">
        <v>0.05</v>
      </c>
      <c r="K891">
        <v>73.48</v>
      </c>
      <c r="L891">
        <v>40</v>
      </c>
      <c r="M891">
        <v>33.479999999999997</v>
      </c>
      <c r="N891" t="s">
        <v>47</v>
      </c>
      <c r="O891" t="s">
        <v>42</v>
      </c>
    </row>
    <row r="892" spans="1:15" x14ac:dyDescent="0.35">
      <c r="A892" t="s">
        <v>1216</v>
      </c>
      <c r="B892" s="1">
        <v>45740</v>
      </c>
      <c r="C892" t="s">
        <v>413</v>
      </c>
      <c r="D892" t="s">
        <v>60</v>
      </c>
      <c r="E892" t="s">
        <v>61</v>
      </c>
      <c r="F892" t="s">
        <v>67</v>
      </c>
      <c r="G892" t="s">
        <v>37</v>
      </c>
      <c r="H892">
        <v>6</v>
      </c>
      <c r="I892">
        <v>73.89</v>
      </c>
      <c r="J892">
        <v>0.15</v>
      </c>
      <c r="K892">
        <v>376.84</v>
      </c>
      <c r="L892">
        <v>240</v>
      </c>
      <c r="M892">
        <v>136.84</v>
      </c>
      <c r="N892" t="s">
        <v>47</v>
      </c>
      <c r="O892" t="s">
        <v>28</v>
      </c>
    </row>
    <row r="893" spans="1:15" x14ac:dyDescent="0.35">
      <c r="A893" t="s">
        <v>1217</v>
      </c>
      <c r="B893" s="1">
        <v>45901</v>
      </c>
      <c r="C893" t="s">
        <v>632</v>
      </c>
      <c r="D893" t="s">
        <v>60</v>
      </c>
      <c r="E893" t="s">
        <v>61</v>
      </c>
      <c r="F893" t="s">
        <v>19</v>
      </c>
      <c r="G893" t="s">
        <v>20</v>
      </c>
      <c r="H893">
        <v>3</v>
      </c>
      <c r="I893">
        <v>292.16000000000003</v>
      </c>
      <c r="J893">
        <v>0</v>
      </c>
      <c r="K893">
        <v>876.48</v>
      </c>
      <c r="L893">
        <v>510</v>
      </c>
      <c r="M893">
        <v>366.48</v>
      </c>
      <c r="N893" t="s">
        <v>47</v>
      </c>
      <c r="O893" t="s">
        <v>42</v>
      </c>
    </row>
    <row r="894" spans="1:15" x14ac:dyDescent="0.35">
      <c r="A894" t="s">
        <v>1218</v>
      </c>
      <c r="B894" s="1">
        <v>45844</v>
      </c>
      <c r="C894" t="s">
        <v>510</v>
      </c>
      <c r="D894" t="s">
        <v>31</v>
      </c>
      <c r="E894" t="s">
        <v>32</v>
      </c>
      <c r="F894" t="s">
        <v>78</v>
      </c>
      <c r="G894" t="s">
        <v>20</v>
      </c>
      <c r="H894">
        <v>1</v>
      </c>
      <c r="I894">
        <v>329.16</v>
      </c>
      <c r="J894">
        <v>0</v>
      </c>
      <c r="K894">
        <v>329.16</v>
      </c>
      <c r="L894">
        <v>200</v>
      </c>
      <c r="M894">
        <v>129.16</v>
      </c>
      <c r="N894" t="s">
        <v>21</v>
      </c>
      <c r="O894" t="s">
        <v>42</v>
      </c>
    </row>
    <row r="895" spans="1:15" x14ac:dyDescent="0.35">
      <c r="A895" t="s">
        <v>1219</v>
      </c>
      <c r="B895" s="1">
        <v>45868</v>
      </c>
      <c r="C895" t="s">
        <v>135</v>
      </c>
      <c r="D895" t="s">
        <v>25</v>
      </c>
      <c r="E895" t="s">
        <v>26</v>
      </c>
      <c r="F895" t="s">
        <v>108</v>
      </c>
      <c r="G895" t="s">
        <v>37</v>
      </c>
      <c r="H895">
        <v>6</v>
      </c>
      <c r="I895">
        <v>423.9</v>
      </c>
      <c r="J895">
        <v>0.05</v>
      </c>
      <c r="K895">
        <v>2416.23</v>
      </c>
      <c r="L895">
        <v>1680</v>
      </c>
      <c r="M895">
        <v>736.23</v>
      </c>
      <c r="N895" t="s">
        <v>21</v>
      </c>
      <c r="O895" t="s">
        <v>22</v>
      </c>
    </row>
    <row r="896" spans="1:15" x14ac:dyDescent="0.35">
      <c r="A896" t="s">
        <v>1220</v>
      </c>
      <c r="B896" s="1">
        <v>45718</v>
      </c>
      <c r="C896" t="s">
        <v>484</v>
      </c>
      <c r="D896" t="s">
        <v>58</v>
      </c>
      <c r="E896" t="s">
        <v>18</v>
      </c>
      <c r="F896" t="s">
        <v>19</v>
      </c>
      <c r="G896" t="s">
        <v>20</v>
      </c>
      <c r="H896">
        <v>2</v>
      </c>
      <c r="I896">
        <v>278.10000000000002</v>
      </c>
      <c r="J896">
        <v>0.05</v>
      </c>
      <c r="K896">
        <v>528.39</v>
      </c>
      <c r="L896">
        <v>340</v>
      </c>
      <c r="M896">
        <v>188.39</v>
      </c>
      <c r="N896" t="s">
        <v>21</v>
      </c>
      <c r="O896" t="s">
        <v>28</v>
      </c>
    </row>
    <row r="897" spans="1:15" x14ac:dyDescent="0.35">
      <c r="A897" t="s">
        <v>1221</v>
      </c>
      <c r="B897" s="1">
        <v>45857</v>
      </c>
      <c r="C897" t="s">
        <v>218</v>
      </c>
      <c r="D897" t="s">
        <v>58</v>
      </c>
      <c r="E897" t="s">
        <v>18</v>
      </c>
      <c r="F897" t="s">
        <v>36</v>
      </c>
      <c r="G897" t="s">
        <v>37</v>
      </c>
      <c r="H897">
        <v>2</v>
      </c>
      <c r="I897">
        <v>116.75</v>
      </c>
      <c r="J897">
        <v>0.05</v>
      </c>
      <c r="K897">
        <v>221.82</v>
      </c>
      <c r="L897">
        <v>120</v>
      </c>
      <c r="M897">
        <v>101.82</v>
      </c>
      <c r="N897" t="s">
        <v>47</v>
      </c>
      <c r="O897" t="s">
        <v>28</v>
      </c>
    </row>
    <row r="898" spans="1:15" x14ac:dyDescent="0.35">
      <c r="A898" t="s">
        <v>1222</v>
      </c>
      <c r="B898" s="1">
        <v>45964</v>
      </c>
      <c r="C898" t="s">
        <v>1032</v>
      </c>
      <c r="D898" t="s">
        <v>45</v>
      </c>
      <c r="E898" t="s">
        <v>46</v>
      </c>
      <c r="F898" t="s">
        <v>27</v>
      </c>
      <c r="G898" t="s">
        <v>20</v>
      </c>
      <c r="H898">
        <v>1</v>
      </c>
      <c r="I898">
        <v>196.21</v>
      </c>
      <c r="J898">
        <v>0.1</v>
      </c>
      <c r="K898">
        <v>176.59</v>
      </c>
      <c r="L898">
        <v>110</v>
      </c>
      <c r="M898">
        <v>66.59</v>
      </c>
      <c r="N898" t="s">
        <v>21</v>
      </c>
      <c r="O898" t="s">
        <v>22</v>
      </c>
    </row>
    <row r="899" spans="1:15" x14ac:dyDescent="0.35">
      <c r="A899" t="s">
        <v>1223</v>
      </c>
      <c r="B899" s="1">
        <v>45996</v>
      </c>
      <c r="C899" t="s">
        <v>288</v>
      </c>
      <c r="D899" t="s">
        <v>31</v>
      </c>
      <c r="E899" t="s">
        <v>32</v>
      </c>
      <c r="F899" t="s">
        <v>19</v>
      </c>
      <c r="G899" t="s">
        <v>20</v>
      </c>
      <c r="H899">
        <v>1</v>
      </c>
      <c r="I899">
        <v>274.95</v>
      </c>
      <c r="J899">
        <v>0</v>
      </c>
      <c r="K899">
        <v>274.95</v>
      </c>
      <c r="L899">
        <v>170</v>
      </c>
      <c r="M899">
        <v>104.95</v>
      </c>
      <c r="N899" t="s">
        <v>33</v>
      </c>
      <c r="O899" t="s">
        <v>22</v>
      </c>
    </row>
    <row r="900" spans="1:15" x14ac:dyDescent="0.35">
      <c r="A900" t="s">
        <v>1224</v>
      </c>
      <c r="B900" s="1">
        <v>45766</v>
      </c>
      <c r="C900" t="s">
        <v>113</v>
      </c>
      <c r="D900" t="s">
        <v>25</v>
      </c>
      <c r="E900" t="s">
        <v>26</v>
      </c>
      <c r="F900" t="s">
        <v>78</v>
      </c>
      <c r="G900" t="s">
        <v>20</v>
      </c>
      <c r="H900">
        <v>1</v>
      </c>
      <c r="I900">
        <v>332.65</v>
      </c>
      <c r="J900">
        <v>0.05</v>
      </c>
      <c r="K900">
        <v>316.02</v>
      </c>
      <c r="L900">
        <v>200</v>
      </c>
      <c r="M900">
        <v>116.02</v>
      </c>
      <c r="N900" t="s">
        <v>21</v>
      </c>
      <c r="O900" t="s">
        <v>28</v>
      </c>
    </row>
    <row r="901" spans="1:15" x14ac:dyDescent="0.35">
      <c r="A901" t="s">
        <v>1225</v>
      </c>
      <c r="B901" s="1">
        <v>45736</v>
      </c>
      <c r="C901" t="s">
        <v>270</v>
      </c>
      <c r="D901" t="s">
        <v>31</v>
      </c>
      <c r="E901" t="s">
        <v>32</v>
      </c>
      <c r="F901" t="s">
        <v>19</v>
      </c>
      <c r="G901" t="s">
        <v>20</v>
      </c>
      <c r="H901">
        <v>1</v>
      </c>
      <c r="I901">
        <v>293.25</v>
      </c>
      <c r="J901">
        <v>0</v>
      </c>
      <c r="K901">
        <v>293.25</v>
      </c>
      <c r="L901">
        <v>170</v>
      </c>
      <c r="M901">
        <v>123.25</v>
      </c>
      <c r="N901" t="s">
        <v>21</v>
      </c>
      <c r="O901" t="s">
        <v>22</v>
      </c>
    </row>
    <row r="902" spans="1:15" x14ac:dyDescent="0.35">
      <c r="A902" t="s">
        <v>1226</v>
      </c>
      <c r="B902" s="1">
        <v>45931</v>
      </c>
      <c r="C902" t="s">
        <v>356</v>
      </c>
      <c r="D902" t="s">
        <v>58</v>
      </c>
      <c r="E902" t="s">
        <v>18</v>
      </c>
      <c r="F902" t="s">
        <v>27</v>
      </c>
      <c r="G902" t="s">
        <v>20</v>
      </c>
      <c r="H902">
        <v>1</v>
      </c>
      <c r="I902">
        <v>187.53</v>
      </c>
      <c r="J902">
        <v>0.1</v>
      </c>
      <c r="K902">
        <v>168.78</v>
      </c>
      <c r="L902">
        <v>110</v>
      </c>
      <c r="M902">
        <v>58.78</v>
      </c>
      <c r="N902" t="s">
        <v>33</v>
      </c>
      <c r="O902" t="s">
        <v>42</v>
      </c>
    </row>
    <row r="903" spans="1:15" x14ac:dyDescent="0.35">
      <c r="A903" t="s">
        <v>1227</v>
      </c>
      <c r="B903" s="1">
        <v>45659</v>
      </c>
      <c r="C903" t="s">
        <v>635</v>
      </c>
      <c r="D903" t="s">
        <v>25</v>
      </c>
      <c r="E903" t="s">
        <v>26</v>
      </c>
      <c r="F903" t="s">
        <v>78</v>
      </c>
      <c r="G903" t="s">
        <v>20</v>
      </c>
      <c r="H903">
        <v>5</v>
      </c>
      <c r="I903">
        <v>331.22</v>
      </c>
      <c r="J903">
        <v>0</v>
      </c>
      <c r="K903">
        <v>1656.1</v>
      </c>
      <c r="L903">
        <v>1000</v>
      </c>
      <c r="M903">
        <v>656.1</v>
      </c>
      <c r="N903" t="s">
        <v>21</v>
      </c>
      <c r="O903" t="s">
        <v>28</v>
      </c>
    </row>
    <row r="904" spans="1:15" x14ac:dyDescent="0.35">
      <c r="A904" t="s">
        <v>1228</v>
      </c>
      <c r="B904" s="1">
        <v>45864</v>
      </c>
      <c r="C904" t="s">
        <v>93</v>
      </c>
      <c r="D904" t="s">
        <v>66</v>
      </c>
      <c r="E904" t="s">
        <v>61</v>
      </c>
      <c r="F904" t="s">
        <v>41</v>
      </c>
      <c r="G904" t="s">
        <v>37</v>
      </c>
      <c r="H904">
        <v>4</v>
      </c>
      <c r="I904">
        <v>908.53</v>
      </c>
      <c r="J904">
        <v>0.1</v>
      </c>
      <c r="K904">
        <v>3270.71</v>
      </c>
      <c r="L904">
        <v>2400</v>
      </c>
      <c r="M904">
        <v>870.71</v>
      </c>
      <c r="N904" t="s">
        <v>33</v>
      </c>
      <c r="O904" t="s">
        <v>28</v>
      </c>
    </row>
    <row r="905" spans="1:15" x14ac:dyDescent="0.35">
      <c r="A905" t="s">
        <v>1229</v>
      </c>
      <c r="B905" s="1">
        <v>45719</v>
      </c>
      <c r="C905" t="s">
        <v>587</v>
      </c>
      <c r="D905" t="s">
        <v>60</v>
      </c>
      <c r="E905" t="s">
        <v>61</v>
      </c>
      <c r="F905" t="s">
        <v>67</v>
      </c>
      <c r="G905" t="s">
        <v>37</v>
      </c>
      <c r="H905">
        <v>6</v>
      </c>
      <c r="I905">
        <v>80.27</v>
      </c>
      <c r="J905">
        <v>0.2</v>
      </c>
      <c r="K905">
        <v>385.3</v>
      </c>
      <c r="L905">
        <v>240</v>
      </c>
      <c r="M905">
        <v>145.30000000000001</v>
      </c>
      <c r="N905" t="s">
        <v>21</v>
      </c>
      <c r="O905" t="s">
        <v>22</v>
      </c>
    </row>
    <row r="906" spans="1:15" x14ac:dyDescent="0.35">
      <c r="A906" t="s">
        <v>1230</v>
      </c>
      <c r="B906" s="1">
        <v>45855</v>
      </c>
      <c r="C906" t="s">
        <v>703</v>
      </c>
      <c r="D906" t="s">
        <v>50</v>
      </c>
      <c r="E906" t="s">
        <v>32</v>
      </c>
      <c r="F906" t="s">
        <v>78</v>
      </c>
      <c r="G906" t="s">
        <v>20</v>
      </c>
      <c r="H906">
        <v>4</v>
      </c>
      <c r="I906">
        <v>316.83999999999997</v>
      </c>
      <c r="J906">
        <v>0</v>
      </c>
      <c r="K906">
        <v>1267.3599999999999</v>
      </c>
      <c r="L906">
        <v>800</v>
      </c>
      <c r="M906">
        <v>467.36</v>
      </c>
      <c r="N906" t="s">
        <v>47</v>
      </c>
      <c r="O906" t="s">
        <v>28</v>
      </c>
    </row>
    <row r="907" spans="1:15" x14ac:dyDescent="0.35">
      <c r="A907" t="s">
        <v>1231</v>
      </c>
      <c r="B907" s="1">
        <v>45982</v>
      </c>
      <c r="C907" t="s">
        <v>424</v>
      </c>
      <c r="D907" t="s">
        <v>66</v>
      </c>
      <c r="E907" t="s">
        <v>61</v>
      </c>
      <c r="F907" t="s">
        <v>67</v>
      </c>
      <c r="G907" t="s">
        <v>37</v>
      </c>
      <c r="H907">
        <v>1</v>
      </c>
      <c r="I907">
        <v>71.540000000000006</v>
      </c>
      <c r="J907">
        <v>0</v>
      </c>
      <c r="K907">
        <v>71.540000000000006</v>
      </c>
      <c r="L907">
        <v>40</v>
      </c>
      <c r="M907">
        <v>31.54</v>
      </c>
      <c r="N907" t="s">
        <v>38</v>
      </c>
      <c r="O907" t="s">
        <v>28</v>
      </c>
    </row>
    <row r="908" spans="1:15" x14ac:dyDescent="0.35">
      <c r="A908" t="s">
        <v>1232</v>
      </c>
      <c r="B908" s="1">
        <v>45914</v>
      </c>
      <c r="C908" t="s">
        <v>99</v>
      </c>
      <c r="D908" t="s">
        <v>60</v>
      </c>
      <c r="E908" t="s">
        <v>61</v>
      </c>
      <c r="F908" t="s">
        <v>51</v>
      </c>
      <c r="G908" t="s">
        <v>37</v>
      </c>
      <c r="H908">
        <v>3</v>
      </c>
      <c r="I908">
        <v>231.26</v>
      </c>
      <c r="J908">
        <v>0</v>
      </c>
      <c r="K908">
        <v>693.78</v>
      </c>
      <c r="L908">
        <v>450</v>
      </c>
      <c r="M908">
        <v>243.78</v>
      </c>
      <c r="N908" t="s">
        <v>21</v>
      </c>
      <c r="O908" t="s">
        <v>28</v>
      </c>
    </row>
    <row r="909" spans="1:15" x14ac:dyDescent="0.35">
      <c r="A909" t="s">
        <v>1233</v>
      </c>
      <c r="B909" s="1">
        <v>45705</v>
      </c>
      <c r="C909" t="s">
        <v>220</v>
      </c>
      <c r="D909" t="s">
        <v>25</v>
      </c>
      <c r="E909" t="s">
        <v>26</v>
      </c>
      <c r="F909" t="s">
        <v>41</v>
      </c>
      <c r="G909" t="s">
        <v>37</v>
      </c>
      <c r="H909">
        <v>5</v>
      </c>
      <c r="I909">
        <v>887.32</v>
      </c>
      <c r="J909">
        <v>0.1</v>
      </c>
      <c r="K909">
        <v>3992.94</v>
      </c>
      <c r="L909">
        <v>3000</v>
      </c>
      <c r="M909">
        <v>992.94</v>
      </c>
      <c r="N909" t="s">
        <v>21</v>
      </c>
      <c r="O909" t="s">
        <v>42</v>
      </c>
    </row>
    <row r="910" spans="1:15" x14ac:dyDescent="0.35">
      <c r="A910" t="s">
        <v>1234</v>
      </c>
      <c r="B910" s="1">
        <v>45891</v>
      </c>
      <c r="C910" t="s">
        <v>324</v>
      </c>
      <c r="D910" t="s">
        <v>58</v>
      </c>
      <c r="E910" t="s">
        <v>18</v>
      </c>
      <c r="F910" t="s">
        <v>41</v>
      </c>
      <c r="G910" t="s">
        <v>37</v>
      </c>
      <c r="H910">
        <v>3</v>
      </c>
      <c r="I910">
        <v>914.27</v>
      </c>
      <c r="J910">
        <v>0</v>
      </c>
      <c r="K910">
        <v>2742.81</v>
      </c>
      <c r="L910">
        <v>1800</v>
      </c>
      <c r="M910">
        <v>942.81</v>
      </c>
      <c r="N910" t="s">
        <v>38</v>
      </c>
      <c r="O910" t="s">
        <v>28</v>
      </c>
    </row>
    <row r="911" spans="1:15" x14ac:dyDescent="0.35">
      <c r="A911" t="s">
        <v>1235</v>
      </c>
      <c r="B911" s="1">
        <v>45718</v>
      </c>
      <c r="C911" t="s">
        <v>703</v>
      </c>
      <c r="D911" t="s">
        <v>60</v>
      </c>
      <c r="E911" t="s">
        <v>61</v>
      </c>
      <c r="F911" t="s">
        <v>41</v>
      </c>
      <c r="G911" t="s">
        <v>37</v>
      </c>
      <c r="H911">
        <v>1</v>
      </c>
      <c r="I911">
        <v>899.55</v>
      </c>
      <c r="J911">
        <v>0.15</v>
      </c>
      <c r="K911">
        <v>764.62</v>
      </c>
      <c r="L911">
        <v>600</v>
      </c>
      <c r="M911">
        <v>164.62</v>
      </c>
      <c r="N911" t="s">
        <v>47</v>
      </c>
      <c r="O911" t="s">
        <v>28</v>
      </c>
    </row>
    <row r="912" spans="1:15" x14ac:dyDescent="0.35">
      <c r="A912" t="s">
        <v>1236</v>
      </c>
      <c r="B912" s="1">
        <v>45827</v>
      </c>
      <c r="C912" t="s">
        <v>630</v>
      </c>
      <c r="D912" t="s">
        <v>45</v>
      </c>
      <c r="E912" t="s">
        <v>46</v>
      </c>
      <c r="F912" t="s">
        <v>41</v>
      </c>
      <c r="G912" t="s">
        <v>37</v>
      </c>
      <c r="H912">
        <v>2</v>
      </c>
      <c r="I912">
        <v>814.84</v>
      </c>
      <c r="J912">
        <v>0</v>
      </c>
      <c r="K912">
        <v>1629.68</v>
      </c>
      <c r="L912">
        <v>1200</v>
      </c>
      <c r="M912">
        <v>429.68</v>
      </c>
      <c r="N912" t="s">
        <v>21</v>
      </c>
      <c r="O912" t="s">
        <v>28</v>
      </c>
    </row>
    <row r="913" spans="1:15" x14ac:dyDescent="0.35">
      <c r="A913" t="s">
        <v>1237</v>
      </c>
      <c r="B913" s="1">
        <v>45858</v>
      </c>
      <c r="C913" t="s">
        <v>739</v>
      </c>
      <c r="D913" t="s">
        <v>31</v>
      </c>
      <c r="E913" t="s">
        <v>32</v>
      </c>
      <c r="F913" t="s">
        <v>67</v>
      </c>
      <c r="G913" t="s">
        <v>37</v>
      </c>
      <c r="H913">
        <v>2</v>
      </c>
      <c r="I913">
        <v>78.099999999999994</v>
      </c>
      <c r="J913">
        <v>0.05</v>
      </c>
      <c r="K913">
        <v>148.38999999999999</v>
      </c>
      <c r="L913">
        <v>80</v>
      </c>
      <c r="M913">
        <v>68.39</v>
      </c>
      <c r="N913" t="s">
        <v>38</v>
      </c>
      <c r="O913" t="s">
        <v>42</v>
      </c>
    </row>
    <row r="914" spans="1:15" x14ac:dyDescent="0.35">
      <c r="A914" t="s">
        <v>1238</v>
      </c>
      <c r="B914" s="1">
        <v>45688</v>
      </c>
      <c r="C914" t="s">
        <v>308</v>
      </c>
      <c r="D914" t="s">
        <v>58</v>
      </c>
      <c r="E914" t="s">
        <v>18</v>
      </c>
      <c r="F914" t="s">
        <v>67</v>
      </c>
      <c r="G914" t="s">
        <v>37</v>
      </c>
      <c r="H914">
        <v>3</v>
      </c>
      <c r="I914">
        <v>79.650000000000006</v>
      </c>
      <c r="J914">
        <v>0</v>
      </c>
      <c r="K914">
        <v>238.95</v>
      </c>
      <c r="L914">
        <v>120</v>
      </c>
      <c r="M914">
        <v>118.95</v>
      </c>
      <c r="N914" t="s">
        <v>47</v>
      </c>
      <c r="O914" t="s">
        <v>28</v>
      </c>
    </row>
    <row r="915" spans="1:15" x14ac:dyDescent="0.35">
      <c r="A915" t="s">
        <v>1239</v>
      </c>
      <c r="B915" s="1">
        <v>45737</v>
      </c>
      <c r="C915" t="s">
        <v>95</v>
      </c>
      <c r="D915" t="s">
        <v>45</v>
      </c>
      <c r="E915" t="s">
        <v>46</v>
      </c>
      <c r="F915" t="s">
        <v>67</v>
      </c>
      <c r="G915" t="s">
        <v>37</v>
      </c>
      <c r="H915">
        <v>1</v>
      </c>
      <c r="I915">
        <v>76.45</v>
      </c>
      <c r="J915">
        <v>0.05</v>
      </c>
      <c r="K915">
        <v>72.63</v>
      </c>
      <c r="L915">
        <v>40</v>
      </c>
      <c r="M915">
        <v>32.630000000000003</v>
      </c>
      <c r="N915" t="s">
        <v>47</v>
      </c>
      <c r="O915" t="s">
        <v>42</v>
      </c>
    </row>
    <row r="916" spans="1:15" x14ac:dyDescent="0.35">
      <c r="A916" t="s">
        <v>1240</v>
      </c>
      <c r="B916" s="1">
        <v>45674</v>
      </c>
      <c r="C916" t="s">
        <v>377</v>
      </c>
      <c r="D916" t="s">
        <v>50</v>
      </c>
      <c r="E916" t="s">
        <v>32</v>
      </c>
      <c r="F916" t="s">
        <v>36</v>
      </c>
      <c r="G916" t="s">
        <v>37</v>
      </c>
      <c r="H916">
        <v>1</v>
      </c>
      <c r="I916">
        <v>121.34</v>
      </c>
      <c r="J916">
        <v>0.05</v>
      </c>
      <c r="K916">
        <v>115.27</v>
      </c>
      <c r="L916">
        <v>60</v>
      </c>
      <c r="M916">
        <v>55.27</v>
      </c>
      <c r="N916" t="s">
        <v>47</v>
      </c>
      <c r="O916" t="s">
        <v>42</v>
      </c>
    </row>
    <row r="917" spans="1:15" x14ac:dyDescent="0.35">
      <c r="A917" t="s">
        <v>1241</v>
      </c>
      <c r="B917" s="1">
        <v>45692</v>
      </c>
      <c r="C917" t="s">
        <v>242</v>
      </c>
      <c r="D917" t="s">
        <v>17</v>
      </c>
      <c r="E917" t="s">
        <v>18</v>
      </c>
      <c r="F917" t="s">
        <v>27</v>
      </c>
      <c r="G917" t="s">
        <v>20</v>
      </c>
      <c r="H917">
        <v>2</v>
      </c>
      <c r="I917">
        <v>199.28</v>
      </c>
      <c r="J917">
        <v>0</v>
      </c>
      <c r="K917">
        <v>398.56</v>
      </c>
      <c r="L917">
        <v>220</v>
      </c>
      <c r="M917">
        <v>178.56</v>
      </c>
      <c r="N917" t="s">
        <v>38</v>
      </c>
      <c r="O917" t="s">
        <v>42</v>
      </c>
    </row>
    <row r="918" spans="1:15" x14ac:dyDescent="0.35">
      <c r="A918" t="s">
        <v>1242</v>
      </c>
      <c r="B918" s="1">
        <v>45720</v>
      </c>
      <c r="C918" t="s">
        <v>920</v>
      </c>
      <c r="D918" t="s">
        <v>25</v>
      </c>
      <c r="E918" t="s">
        <v>26</v>
      </c>
      <c r="F918" t="s">
        <v>67</v>
      </c>
      <c r="G918" t="s">
        <v>37</v>
      </c>
      <c r="H918">
        <v>2</v>
      </c>
      <c r="I918">
        <v>79.53</v>
      </c>
      <c r="J918">
        <v>0.05</v>
      </c>
      <c r="K918">
        <v>151.11000000000001</v>
      </c>
      <c r="L918">
        <v>80</v>
      </c>
      <c r="M918">
        <v>71.11</v>
      </c>
      <c r="N918" t="s">
        <v>21</v>
      </c>
      <c r="O918" t="s">
        <v>28</v>
      </c>
    </row>
    <row r="919" spans="1:15" x14ac:dyDescent="0.35">
      <c r="A919" t="s">
        <v>1243</v>
      </c>
      <c r="B919" s="1">
        <v>45846</v>
      </c>
      <c r="C919" t="s">
        <v>422</v>
      </c>
      <c r="D919" t="s">
        <v>25</v>
      </c>
      <c r="E919" t="s">
        <v>26</v>
      </c>
      <c r="F919" t="s">
        <v>27</v>
      </c>
      <c r="G919" t="s">
        <v>20</v>
      </c>
      <c r="H919">
        <v>3</v>
      </c>
      <c r="I919">
        <v>187.86</v>
      </c>
      <c r="J919">
        <v>0.05</v>
      </c>
      <c r="K919">
        <v>535.4</v>
      </c>
      <c r="L919">
        <v>330</v>
      </c>
      <c r="M919">
        <v>205.4</v>
      </c>
      <c r="N919" t="s">
        <v>21</v>
      </c>
      <c r="O919" t="s">
        <v>28</v>
      </c>
    </row>
    <row r="920" spans="1:15" x14ac:dyDescent="0.35">
      <c r="A920" t="s">
        <v>1244</v>
      </c>
      <c r="B920" s="1">
        <v>45852</v>
      </c>
      <c r="C920" t="s">
        <v>395</v>
      </c>
      <c r="D920" t="s">
        <v>31</v>
      </c>
      <c r="E920" t="s">
        <v>32</v>
      </c>
      <c r="F920" t="s">
        <v>67</v>
      </c>
      <c r="G920" t="s">
        <v>37</v>
      </c>
      <c r="H920">
        <v>1</v>
      </c>
      <c r="I920">
        <v>77.92</v>
      </c>
      <c r="J920">
        <v>0.05</v>
      </c>
      <c r="K920">
        <v>74.02</v>
      </c>
      <c r="L920">
        <v>40</v>
      </c>
      <c r="M920">
        <v>34.020000000000003</v>
      </c>
      <c r="N920" t="s">
        <v>33</v>
      </c>
      <c r="O920" t="s">
        <v>42</v>
      </c>
    </row>
    <row r="921" spans="1:15" x14ac:dyDescent="0.35">
      <c r="A921" t="s">
        <v>1245</v>
      </c>
      <c r="B921" s="1">
        <v>45835</v>
      </c>
      <c r="C921" t="s">
        <v>1246</v>
      </c>
      <c r="D921" t="s">
        <v>66</v>
      </c>
      <c r="E921" t="s">
        <v>61</v>
      </c>
      <c r="F921" t="s">
        <v>36</v>
      </c>
      <c r="G921" t="s">
        <v>37</v>
      </c>
      <c r="H921">
        <v>2</v>
      </c>
      <c r="I921">
        <v>114.38</v>
      </c>
      <c r="J921">
        <v>0.15</v>
      </c>
      <c r="K921">
        <v>194.45</v>
      </c>
      <c r="L921">
        <v>120</v>
      </c>
      <c r="M921">
        <v>74.45</v>
      </c>
      <c r="N921" t="s">
        <v>21</v>
      </c>
      <c r="O921" t="s">
        <v>22</v>
      </c>
    </row>
    <row r="922" spans="1:15" x14ac:dyDescent="0.35">
      <c r="A922" t="s">
        <v>1247</v>
      </c>
      <c r="B922" s="1">
        <v>45704</v>
      </c>
      <c r="C922" t="s">
        <v>655</v>
      </c>
      <c r="D922" t="s">
        <v>31</v>
      </c>
      <c r="E922" t="s">
        <v>32</v>
      </c>
      <c r="F922" t="s">
        <v>67</v>
      </c>
      <c r="G922" t="s">
        <v>37</v>
      </c>
      <c r="H922">
        <v>3</v>
      </c>
      <c r="I922">
        <v>72.5</v>
      </c>
      <c r="J922">
        <v>0.1</v>
      </c>
      <c r="K922">
        <v>195.75</v>
      </c>
      <c r="L922">
        <v>120</v>
      </c>
      <c r="M922">
        <v>75.75</v>
      </c>
      <c r="N922" t="s">
        <v>21</v>
      </c>
      <c r="O922" t="s">
        <v>28</v>
      </c>
    </row>
    <row r="923" spans="1:15" x14ac:dyDescent="0.35">
      <c r="A923" t="s">
        <v>1248</v>
      </c>
      <c r="B923" s="1">
        <v>45752</v>
      </c>
      <c r="C923" t="s">
        <v>1249</v>
      </c>
      <c r="D923" t="s">
        <v>17</v>
      </c>
      <c r="E923" t="s">
        <v>18</v>
      </c>
      <c r="F923" t="s">
        <v>51</v>
      </c>
      <c r="G923" t="s">
        <v>37</v>
      </c>
      <c r="H923">
        <v>2</v>
      </c>
      <c r="I923">
        <v>246.25</v>
      </c>
      <c r="J923">
        <v>0.05</v>
      </c>
      <c r="K923">
        <v>467.88</v>
      </c>
      <c r="L923">
        <v>300</v>
      </c>
      <c r="M923">
        <v>167.88</v>
      </c>
      <c r="N923" t="s">
        <v>33</v>
      </c>
      <c r="O923" t="s">
        <v>28</v>
      </c>
    </row>
    <row r="924" spans="1:15" x14ac:dyDescent="0.35">
      <c r="A924" t="s">
        <v>1250</v>
      </c>
      <c r="B924" s="1">
        <v>45802</v>
      </c>
      <c r="C924" t="s">
        <v>162</v>
      </c>
      <c r="D924" t="s">
        <v>45</v>
      </c>
      <c r="E924" t="s">
        <v>46</v>
      </c>
      <c r="F924" t="s">
        <v>108</v>
      </c>
      <c r="G924" t="s">
        <v>37</v>
      </c>
      <c r="H924">
        <v>2</v>
      </c>
      <c r="I924">
        <v>427.18</v>
      </c>
      <c r="J924">
        <v>0</v>
      </c>
      <c r="K924">
        <v>854.36</v>
      </c>
      <c r="L924">
        <v>560</v>
      </c>
      <c r="M924">
        <v>294.36</v>
      </c>
      <c r="N924" t="s">
        <v>38</v>
      </c>
      <c r="O924" t="s">
        <v>22</v>
      </c>
    </row>
    <row r="925" spans="1:15" x14ac:dyDescent="0.35">
      <c r="A925" t="s">
        <v>1251</v>
      </c>
      <c r="B925" s="1">
        <v>45724</v>
      </c>
      <c r="C925" t="s">
        <v>82</v>
      </c>
      <c r="D925" t="s">
        <v>50</v>
      </c>
      <c r="E925" t="s">
        <v>32</v>
      </c>
      <c r="F925" t="s">
        <v>41</v>
      </c>
      <c r="G925" t="s">
        <v>37</v>
      </c>
      <c r="H925">
        <v>1</v>
      </c>
      <c r="I925">
        <v>829.18</v>
      </c>
      <c r="J925">
        <v>0.1</v>
      </c>
      <c r="K925">
        <v>746.26</v>
      </c>
      <c r="L925">
        <v>600</v>
      </c>
      <c r="M925">
        <v>146.26</v>
      </c>
      <c r="N925" t="s">
        <v>47</v>
      </c>
      <c r="O925" t="s">
        <v>28</v>
      </c>
    </row>
    <row r="926" spans="1:15" x14ac:dyDescent="0.35">
      <c r="A926" t="s">
        <v>1252</v>
      </c>
      <c r="B926" s="1">
        <v>45708</v>
      </c>
      <c r="C926" t="s">
        <v>615</v>
      </c>
      <c r="D926" t="s">
        <v>50</v>
      </c>
      <c r="E926" t="s">
        <v>32</v>
      </c>
      <c r="F926" t="s">
        <v>67</v>
      </c>
      <c r="G926" t="s">
        <v>37</v>
      </c>
      <c r="H926">
        <v>2</v>
      </c>
      <c r="I926">
        <v>71.790000000000006</v>
      </c>
      <c r="J926">
        <v>0.1</v>
      </c>
      <c r="K926">
        <v>129.22</v>
      </c>
      <c r="L926">
        <v>80</v>
      </c>
      <c r="M926">
        <v>49.22</v>
      </c>
      <c r="N926" t="s">
        <v>38</v>
      </c>
      <c r="O926" t="s">
        <v>28</v>
      </c>
    </row>
    <row r="927" spans="1:15" x14ac:dyDescent="0.35">
      <c r="A927" t="s">
        <v>1253</v>
      </c>
      <c r="B927" s="1">
        <v>45977</v>
      </c>
      <c r="C927" t="s">
        <v>35</v>
      </c>
      <c r="D927" t="s">
        <v>50</v>
      </c>
      <c r="E927" t="s">
        <v>32</v>
      </c>
      <c r="F927" t="s">
        <v>108</v>
      </c>
      <c r="G927" t="s">
        <v>37</v>
      </c>
      <c r="H927">
        <v>1</v>
      </c>
      <c r="I927">
        <v>447.96</v>
      </c>
      <c r="J927">
        <v>0</v>
      </c>
      <c r="K927">
        <v>447.96</v>
      </c>
      <c r="L927">
        <v>280</v>
      </c>
      <c r="M927">
        <v>167.96</v>
      </c>
      <c r="N927" t="s">
        <v>21</v>
      </c>
      <c r="O927" t="s">
        <v>28</v>
      </c>
    </row>
    <row r="928" spans="1:15" x14ac:dyDescent="0.35">
      <c r="A928" t="s">
        <v>1254</v>
      </c>
      <c r="B928" s="1">
        <v>45846</v>
      </c>
      <c r="C928" t="s">
        <v>149</v>
      </c>
      <c r="D928" t="s">
        <v>50</v>
      </c>
      <c r="E928" t="s">
        <v>32</v>
      </c>
      <c r="F928" t="s">
        <v>108</v>
      </c>
      <c r="G928" t="s">
        <v>37</v>
      </c>
      <c r="H928">
        <v>4</v>
      </c>
      <c r="I928">
        <v>440.15</v>
      </c>
      <c r="J928">
        <v>0.05</v>
      </c>
      <c r="K928">
        <v>1672.57</v>
      </c>
      <c r="L928">
        <v>1120</v>
      </c>
      <c r="M928">
        <v>552.57000000000005</v>
      </c>
      <c r="N928" t="s">
        <v>38</v>
      </c>
      <c r="O928" t="s">
        <v>22</v>
      </c>
    </row>
    <row r="929" spans="1:15" x14ac:dyDescent="0.35">
      <c r="A929" t="s">
        <v>1255</v>
      </c>
      <c r="B929" s="1">
        <v>45890</v>
      </c>
      <c r="C929" t="s">
        <v>270</v>
      </c>
      <c r="D929" t="s">
        <v>45</v>
      </c>
      <c r="E929" t="s">
        <v>46</v>
      </c>
      <c r="F929" t="s">
        <v>67</v>
      </c>
      <c r="G929" t="s">
        <v>37</v>
      </c>
      <c r="H929">
        <v>3</v>
      </c>
      <c r="I929">
        <v>76.48</v>
      </c>
      <c r="J929">
        <v>0</v>
      </c>
      <c r="K929">
        <v>229.44</v>
      </c>
      <c r="L929">
        <v>120</v>
      </c>
      <c r="M929">
        <v>109.44</v>
      </c>
      <c r="N929" t="s">
        <v>21</v>
      </c>
      <c r="O929" t="s">
        <v>42</v>
      </c>
    </row>
    <row r="930" spans="1:15" x14ac:dyDescent="0.35">
      <c r="A930" t="s">
        <v>1256</v>
      </c>
      <c r="B930" s="1">
        <v>45686</v>
      </c>
      <c r="C930" t="s">
        <v>870</v>
      </c>
      <c r="D930" t="s">
        <v>45</v>
      </c>
      <c r="E930" t="s">
        <v>46</v>
      </c>
      <c r="F930" t="s">
        <v>51</v>
      </c>
      <c r="G930" t="s">
        <v>37</v>
      </c>
      <c r="H930">
        <v>3</v>
      </c>
      <c r="I930">
        <v>235.03</v>
      </c>
      <c r="J930">
        <v>0</v>
      </c>
      <c r="K930">
        <v>705.09</v>
      </c>
      <c r="L930">
        <v>450</v>
      </c>
      <c r="M930">
        <v>255.09</v>
      </c>
      <c r="N930" t="s">
        <v>47</v>
      </c>
      <c r="O930" t="s">
        <v>28</v>
      </c>
    </row>
    <row r="931" spans="1:15" x14ac:dyDescent="0.35">
      <c r="A931" t="s">
        <v>1257</v>
      </c>
      <c r="B931" s="1">
        <v>45799</v>
      </c>
      <c r="C931" t="s">
        <v>69</v>
      </c>
      <c r="D931" t="s">
        <v>17</v>
      </c>
      <c r="E931" t="s">
        <v>18</v>
      </c>
      <c r="F931" t="s">
        <v>27</v>
      </c>
      <c r="G931" t="s">
        <v>20</v>
      </c>
      <c r="H931">
        <v>3</v>
      </c>
      <c r="I931">
        <v>201.11</v>
      </c>
      <c r="J931">
        <v>0.1</v>
      </c>
      <c r="K931">
        <v>543</v>
      </c>
      <c r="L931">
        <v>330</v>
      </c>
      <c r="M931">
        <v>213</v>
      </c>
      <c r="N931" t="s">
        <v>38</v>
      </c>
      <c r="O931" t="s">
        <v>28</v>
      </c>
    </row>
    <row r="932" spans="1:15" x14ac:dyDescent="0.35">
      <c r="A932" t="s">
        <v>1258</v>
      </c>
      <c r="B932" s="1">
        <v>45982</v>
      </c>
      <c r="C932" t="s">
        <v>574</v>
      </c>
      <c r="D932" t="s">
        <v>31</v>
      </c>
      <c r="E932" t="s">
        <v>32</v>
      </c>
      <c r="F932" t="s">
        <v>51</v>
      </c>
      <c r="G932" t="s">
        <v>37</v>
      </c>
      <c r="H932">
        <v>4</v>
      </c>
      <c r="I932">
        <v>240.43</v>
      </c>
      <c r="J932">
        <v>0.05</v>
      </c>
      <c r="K932">
        <v>913.63</v>
      </c>
      <c r="L932">
        <v>600</v>
      </c>
      <c r="M932">
        <v>313.63</v>
      </c>
      <c r="N932" t="s">
        <v>38</v>
      </c>
      <c r="O932" t="s">
        <v>28</v>
      </c>
    </row>
    <row r="933" spans="1:15" x14ac:dyDescent="0.35">
      <c r="A933" t="s">
        <v>1259</v>
      </c>
      <c r="B933" s="1">
        <v>45734</v>
      </c>
      <c r="C933" t="s">
        <v>281</v>
      </c>
      <c r="D933" t="s">
        <v>58</v>
      </c>
      <c r="E933" t="s">
        <v>18</v>
      </c>
      <c r="F933" t="s">
        <v>36</v>
      </c>
      <c r="G933" t="s">
        <v>37</v>
      </c>
      <c r="H933">
        <v>2</v>
      </c>
      <c r="I933">
        <v>120.86</v>
      </c>
      <c r="J933">
        <v>0</v>
      </c>
      <c r="K933">
        <v>241.72</v>
      </c>
      <c r="L933">
        <v>120</v>
      </c>
      <c r="M933">
        <v>121.72</v>
      </c>
      <c r="N933" t="s">
        <v>38</v>
      </c>
      <c r="O933" t="s">
        <v>28</v>
      </c>
    </row>
    <row r="934" spans="1:15" x14ac:dyDescent="0.35">
      <c r="A934" t="s">
        <v>1260</v>
      </c>
      <c r="B934" s="1">
        <v>45726</v>
      </c>
      <c r="C934" t="s">
        <v>281</v>
      </c>
      <c r="D934" t="s">
        <v>25</v>
      </c>
      <c r="E934" t="s">
        <v>26</v>
      </c>
      <c r="F934" t="s">
        <v>36</v>
      </c>
      <c r="G934" t="s">
        <v>37</v>
      </c>
      <c r="H934">
        <v>5</v>
      </c>
      <c r="I934">
        <v>127.4</v>
      </c>
      <c r="J934">
        <v>0.15</v>
      </c>
      <c r="K934">
        <v>541.45000000000005</v>
      </c>
      <c r="L934">
        <v>300</v>
      </c>
      <c r="M934">
        <v>241.45</v>
      </c>
      <c r="N934" t="s">
        <v>21</v>
      </c>
      <c r="O934" t="s">
        <v>28</v>
      </c>
    </row>
    <row r="935" spans="1:15" x14ac:dyDescent="0.35">
      <c r="A935" t="s">
        <v>1261</v>
      </c>
      <c r="B935" s="1">
        <v>45753</v>
      </c>
      <c r="C935" t="s">
        <v>319</v>
      </c>
      <c r="D935" t="s">
        <v>25</v>
      </c>
      <c r="E935" t="s">
        <v>26</v>
      </c>
      <c r="F935" t="s">
        <v>19</v>
      </c>
      <c r="G935" t="s">
        <v>20</v>
      </c>
      <c r="H935">
        <v>1</v>
      </c>
      <c r="I935">
        <v>268.86</v>
      </c>
      <c r="J935">
        <v>0.1</v>
      </c>
      <c r="K935">
        <v>241.97</v>
      </c>
      <c r="L935">
        <v>170</v>
      </c>
      <c r="M935">
        <v>71.97</v>
      </c>
      <c r="N935" t="s">
        <v>47</v>
      </c>
      <c r="O935" t="s">
        <v>22</v>
      </c>
    </row>
    <row r="936" spans="1:15" x14ac:dyDescent="0.35">
      <c r="A936" t="s">
        <v>1262</v>
      </c>
      <c r="B936" s="1">
        <v>45778</v>
      </c>
      <c r="C936" t="s">
        <v>475</v>
      </c>
      <c r="D936" t="s">
        <v>50</v>
      </c>
      <c r="E936" t="s">
        <v>32</v>
      </c>
      <c r="F936" t="s">
        <v>78</v>
      </c>
      <c r="G936" t="s">
        <v>20</v>
      </c>
      <c r="H936">
        <v>3</v>
      </c>
      <c r="I936">
        <v>326.27999999999997</v>
      </c>
      <c r="J936">
        <v>0.15</v>
      </c>
      <c r="K936">
        <v>832.01</v>
      </c>
      <c r="L936">
        <v>600</v>
      </c>
      <c r="M936">
        <v>232.01</v>
      </c>
      <c r="N936" t="s">
        <v>21</v>
      </c>
      <c r="O936" t="s">
        <v>28</v>
      </c>
    </row>
    <row r="937" spans="1:15" x14ac:dyDescent="0.35">
      <c r="A937" t="s">
        <v>1263</v>
      </c>
      <c r="B937" s="1">
        <v>45830</v>
      </c>
      <c r="C937" t="s">
        <v>328</v>
      </c>
      <c r="D937" t="s">
        <v>45</v>
      </c>
      <c r="E937" t="s">
        <v>46</v>
      </c>
      <c r="F937" t="s">
        <v>27</v>
      </c>
      <c r="G937" t="s">
        <v>20</v>
      </c>
      <c r="H937">
        <v>1</v>
      </c>
      <c r="I937">
        <v>200.77</v>
      </c>
      <c r="J937">
        <v>0.05</v>
      </c>
      <c r="K937">
        <v>190.73</v>
      </c>
      <c r="L937">
        <v>110</v>
      </c>
      <c r="M937">
        <v>80.73</v>
      </c>
      <c r="N937" t="s">
        <v>21</v>
      </c>
      <c r="O937" t="s">
        <v>42</v>
      </c>
    </row>
    <row r="938" spans="1:15" x14ac:dyDescent="0.35">
      <c r="A938" t="s">
        <v>1264</v>
      </c>
      <c r="B938" s="1">
        <v>45788</v>
      </c>
      <c r="C938" t="s">
        <v>93</v>
      </c>
      <c r="D938" t="s">
        <v>17</v>
      </c>
      <c r="E938" t="s">
        <v>18</v>
      </c>
      <c r="F938" t="s">
        <v>36</v>
      </c>
      <c r="G938" t="s">
        <v>37</v>
      </c>
      <c r="H938">
        <v>3</v>
      </c>
      <c r="I938">
        <v>128.96</v>
      </c>
      <c r="J938">
        <v>0.05</v>
      </c>
      <c r="K938">
        <v>367.54</v>
      </c>
      <c r="L938">
        <v>180</v>
      </c>
      <c r="M938">
        <v>187.54</v>
      </c>
      <c r="N938" t="s">
        <v>38</v>
      </c>
      <c r="O938" t="s">
        <v>42</v>
      </c>
    </row>
    <row r="939" spans="1:15" x14ac:dyDescent="0.35">
      <c r="A939" t="s">
        <v>1265</v>
      </c>
      <c r="B939" s="1">
        <v>45899</v>
      </c>
      <c r="C939" t="s">
        <v>632</v>
      </c>
      <c r="D939" t="s">
        <v>25</v>
      </c>
      <c r="E939" t="s">
        <v>26</v>
      </c>
      <c r="F939" t="s">
        <v>41</v>
      </c>
      <c r="G939" t="s">
        <v>37</v>
      </c>
      <c r="H939">
        <v>3</v>
      </c>
      <c r="I939">
        <v>816.85</v>
      </c>
      <c r="J939">
        <v>0</v>
      </c>
      <c r="K939">
        <v>2450.5500000000002</v>
      </c>
      <c r="L939">
        <v>1800</v>
      </c>
      <c r="M939">
        <v>650.54999999999995</v>
      </c>
      <c r="N939" t="s">
        <v>21</v>
      </c>
      <c r="O939" t="s">
        <v>28</v>
      </c>
    </row>
    <row r="940" spans="1:15" x14ac:dyDescent="0.35">
      <c r="A940" t="s">
        <v>1266</v>
      </c>
      <c r="B940" s="1">
        <v>45742</v>
      </c>
      <c r="C940" t="s">
        <v>164</v>
      </c>
      <c r="D940" t="s">
        <v>45</v>
      </c>
      <c r="E940" t="s">
        <v>46</v>
      </c>
      <c r="F940" t="s">
        <v>27</v>
      </c>
      <c r="G940" t="s">
        <v>20</v>
      </c>
      <c r="H940">
        <v>2</v>
      </c>
      <c r="I940">
        <v>190.22</v>
      </c>
      <c r="J940">
        <v>0</v>
      </c>
      <c r="K940">
        <v>380.44</v>
      </c>
      <c r="L940">
        <v>220</v>
      </c>
      <c r="M940">
        <v>160.44</v>
      </c>
      <c r="N940" t="s">
        <v>38</v>
      </c>
      <c r="O940" t="s">
        <v>28</v>
      </c>
    </row>
    <row r="941" spans="1:15" x14ac:dyDescent="0.35">
      <c r="A941" t="s">
        <v>1267</v>
      </c>
      <c r="B941" s="1">
        <v>45890</v>
      </c>
      <c r="C941" t="s">
        <v>141</v>
      </c>
      <c r="D941" t="s">
        <v>66</v>
      </c>
      <c r="E941" t="s">
        <v>61</v>
      </c>
      <c r="F941" t="s">
        <v>19</v>
      </c>
      <c r="G941" t="s">
        <v>20</v>
      </c>
      <c r="H941">
        <v>1</v>
      </c>
      <c r="I941">
        <v>270.27999999999997</v>
      </c>
      <c r="J941">
        <v>0.1</v>
      </c>
      <c r="K941">
        <v>243.25</v>
      </c>
      <c r="L941">
        <v>170</v>
      </c>
      <c r="M941">
        <v>73.25</v>
      </c>
      <c r="N941" t="s">
        <v>21</v>
      </c>
      <c r="O941" t="s">
        <v>42</v>
      </c>
    </row>
    <row r="942" spans="1:15" x14ac:dyDescent="0.35">
      <c r="A942" t="s">
        <v>1268</v>
      </c>
      <c r="B942" s="1">
        <v>45885</v>
      </c>
      <c r="C942" t="s">
        <v>574</v>
      </c>
      <c r="D942" t="s">
        <v>25</v>
      </c>
      <c r="E942" t="s">
        <v>26</v>
      </c>
      <c r="F942" t="s">
        <v>27</v>
      </c>
      <c r="G942" t="s">
        <v>20</v>
      </c>
      <c r="H942">
        <v>2</v>
      </c>
      <c r="I942">
        <v>197.19</v>
      </c>
      <c r="J942">
        <v>0</v>
      </c>
      <c r="K942">
        <v>394.38</v>
      </c>
      <c r="L942">
        <v>220</v>
      </c>
      <c r="M942">
        <v>174.38</v>
      </c>
      <c r="N942" t="s">
        <v>47</v>
      </c>
      <c r="O942" t="s">
        <v>22</v>
      </c>
    </row>
    <row r="943" spans="1:15" x14ac:dyDescent="0.35">
      <c r="A943" t="s">
        <v>1269</v>
      </c>
      <c r="B943" s="1">
        <v>45767</v>
      </c>
      <c r="C943" t="s">
        <v>375</v>
      </c>
      <c r="D943" t="s">
        <v>58</v>
      </c>
      <c r="E943" t="s">
        <v>18</v>
      </c>
      <c r="F943" t="s">
        <v>19</v>
      </c>
      <c r="G943" t="s">
        <v>20</v>
      </c>
      <c r="H943">
        <v>1</v>
      </c>
      <c r="I943">
        <v>279.14</v>
      </c>
      <c r="J943">
        <v>0.1</v>
      </c>
      <c r="K943">
        <v>251.23</v>
      </c>
      <c r="L943">
        <v>170</v>
      </c>
      <c r="M943">
        <v>81.23</v>
      </c>
      <c r="N943" t="s">
        <v>33</v>
      </c>
      <c r="O943" t="s">
        <v>28</v>
      </c>
    </row>
    <row r="944" spans="1:15" x14ac:dyDescent="0.35">
      <c r="A944" t="s">
        <v>1270</v>
      </c>
      <c r="B944" s="1">
        <v>45823</v>
      </c>
      <c r="C944" t="s">
        <v>268</v>
      </c>
      <c r="D944" t="s">
        <v>17</v>
      </c>
      <c r="E944" t="s">
        <v>18</v>
      </c>
      <c r="F944" t="s">
        <v>78</v>
      </c>
      <c r="G944" t="s">
        <v>20</v>
      </c>
      <c r="H944">
        <v>1</v>
      </c>
      <c r="I944">
        <v>335.04</v>
      </c>
      <c r="J944">
        <v>0.15</v>
      </c>
      <c r="K944">
        <v>284.77999999999997</v>
      </c>
      <c r="L944">
        <v>200</v>
      </c>
      <c r="M944">
        <v>84.78</v>
      </c>
      <c r="N944" t="s">
        <v>21</v>
      </c>
      <c r="O944" t="s">
        <v>28</v>
      </c>
    </row>
    <row r="945" spans="1:15" x14ac:dyDescent="0.35">
      <c r="A945" t="s">
        <v>1271</v>
      </c>
      <c r="B945" s="1">
        <v>45725</v>
      </c>
      <c r="C945" t="s">
        <v>123</v>
      </c>
      <c r="D945" t="s">
        <v>58</v>
      </c>
      <c r="E945" t="s">
        <v>18</v>
      </c>
      <c r="F945" t="s">
        <v>67</v>
      </c>
      <c r="G945" t="s">
        <v>37</v>
      </c>
      <c r="H945">
        <v>3</v>
      </c>
      <c r="I945">
        <v>78.13</v>
      </c>
      <c r="J945">
        <v>0.15</v>
      </c>
      <c r="K945">
        <v>199.23</v>
      </c>
      <c r="L945">
        <v>120</v>
      </c>
      <c r="M945">
        <v>79.23</v>
      </c>
      <c r="N945" t="s">
        <v>47</v>
      </c>
      <c r="O945" t="s">
        <v>28</v>
      </c>
    </row>
    <row r="946" spans="1:15" x14ac:dyDescent="0.35">
      <c r="A946" t="s">
        <v>1272</v>
      </c>
      <c r="B946" s="1">
        <v>45940</v>
      </c>
      <c r="C946" t="s">
        <v>475</v>
      </c>
      <c r="D946" t="s">
        <v>60</v>
      </c>
      <c r="E946" t="s">
        <v>61</v>
      </c>
      <c r="F946" t="s">
        <v>67</v>
      </c>
      <c r="G946" t="s">
        <v>37</v>
      </c>
      <c r="H946">
        <v>3</v>
      </c>
      <c r="I946">
        <v>78.37</v>
      </c>
      <c r="J946">
        <v>0</v>
      </c>
      <c r="K946">
        <v>235.11</v>
      </c>
      <c r="L946">
        <v>120</v>
      </c>
      <c r="M946">
        <v>115.11</v>
      </c>
      <c r="N946" t="s">
        <v>47</v>
      </c>
      <c r="O946" t="s">
        <v>22</v>
      </c>
    </row>
    <row r="947" spans="1:15" x14ac:dyDescent="0.35">
      <c r="A947" t="s">
        <v>1273</v>
      </c>
      <c r="B947" s="1">
        <v>45662</v>
      </c>
      <c r="C947" t="s">
        <v>800</v>
      </c>
      <c r="D947" t="s">
        <v>58</v>
      </c>
      <c r="E947" t="s">
        <v>18</v>
      </c>
      <c r="F947" t="s">
        <v>27</v>
      </c>
      <c r="G947" t="s">
        <v>20</v>
      </c>
      <c r="H947">
        <v>5</v>
      </c>
      <c r="I947">
        <v>204.96</v>
      </c>
      <c r="J947">
        <v>0</v>
      </c>
      <c r="K947">
        <v>1024.8</v>
      </c>
      <c r="L947">
        <v>550</v>
      </c>
      <c r="M947">
        <v>474.8</v>
      </c>
      <c r="N947" t="s">
        <v>21</v>
      </c>
      <c r="O947" t="s">
        <v>42</v>
      </c>
    </row>
    <row r="948" spans="1:15" x14ac:dyDescent="0.35">
      <c r="A948" t="s">
        <v>1274</v>
      </c>
      <c r="B948" s="1">
        <v>45840</v>
      </c>
      <c r="C948" t="s">
        <v>181</v>
      </c>
      <c r="D948" t="s">
        <v>25</v>
      </c>
      <c r="E948" t="s">
        <v>26</v>
      </c>
      <c r="F948" t="s">
        <v>36</v>
      </c>
      <c r="G948" t="s">
        <v>37</v>
      </c>
      <c r="H948">
        <v>1</v>
      </c>
      <c r="I948">
        <v>128.1</v>
      </c>
      <c r="J948">
        <v>0.05</v>
      </c>
      <c r="K948">
        <v>121.7</v>
      </c>
      <c r="L948">
        <v>60</v>
      </c>
      <c r="M948">
        <v>61.7</v>
      </c>
      <c r="N948" t="s">
        <v>38</v>
      </c>
      <c r="O948" t="s">
        <v>28</v>
      </c>
    </row>
    <row r="949" spans="1:15" x14ac:dyDescent="0.35">
      <c r="A949" t="s">
        <v>1275</v>
      </c>
      <c r="B949" s="1">
        <v>45993</v>
      </c>
      <c r="C949" t="s">
        <v>143</v>
      </c>
      <c r="D949" t="s">
        <v>45</v>
      </c>
      <c r="E949" t="s">
        <v>46</v>
      </c>
      <c r="F949" t="s">
        <v>78</v>
      </c>
      <c r="G949" t="s">
        <v>20</v>
      </c>
      <c r="H949">
        <v>4</v>
      </c>
      <c r="I949">
        <v>321.25</v>
      </c>
      <c r="J949">
        <v>0.05</v>
      </c>
      <c r="K949">
        <v>1220.75</v>
      </c>
      <c r="L949">
        <v>800</v>
      </c>
      <c r="M949">
        <v>420.75</v>
      </c>
      <c r="N949" t="s">
        <v>33</v>
      </c>
      <c r="O949" t="s">
        <v>28</v>
      </c>
    </row>
    <row r="950" spans="1:15" x14ac:dyDescent="0.35">
      <c r="A950" t="s">
        <v>1276</v>
      </c>
      <c r="B950" s="1">
        <v>45965</v>
      </c>
      <c r="C950" t="s">
        <v>227</v>
      </c>
      <c r="D950" t="s">
        <v>50</v>
      </c>
      <c r="E950" t="s">
        <v>32</v>
      </c>
      <c r="F950" t="s">
        <v>27</v>
      </c>
      <c r="G950" t="s">
        <v>20</v>
      </c>
      <c r="H950">
        <v>1</v>
      </c>
      <c r="I950">
        <v>204.25</v>
      </c>
      <c r="J950">
        <v>0.15</v>
      </c>
      <c r="K950">
        <v>173.61</v>
      </c>
      <c r="L950">
        <v>110</v>
      </c>
      <c r="M950">
        <v>63.61</v>
      </c>
      <c r="N950" t="s">
        <v>38</v>
      </c>
      <c r="O950" t="s">
        <v>28</v>
      </c>
    </row>
    <row r="951" spans="1:15" x14ac:dyDescent="0.35">
      <c r="A951" t="s">
        <v>1277</v>
      </c>
      <c r="B951" s="1">
        <v>45916</v>
      </c>
      <c r="C951" t="s">
        <v>1042</v>
      </c>
      <c r="D951" t="s">
        <v>58</v>
      </c>
      <c r="E951" t="s">
        <v>18</v>
      </c>
      <c r="F951" t="s">
        <v>41</v>
      </c>
      <c r="G951" t="s">
        <v>37</v>
      </c>
      <c r="H951">
        <v>2</v>
      </c>
      <c r="I951">
        <v>905.81</v>
      </c>
      <c r="J951">
        <v>0.05</v>
      </c>
      <c r="K951">
        <v>1721.04</v>
      </c>
      <c r="L951">
        <v>1200</v>
      </c>
      <c r="M951">
        <v>521.04</v>
      </c>
      <c r="N951" t="s">
        <v>33</v>
      </c>
      <c r="O951" t="s">
        <v>42</v>
      </c>
    </row>
    <row r="952" spans="1:15" x14ac:dyDescent="0.35">
      <c r="A952" t="s">
        <v>1278</v>
      </c>
      <c r="B952" s="1">
        <v>45757</v>
      </c>
      <c r="C952" t="s">
        <v>416</v>
      </c>
      <c r="D952" t="s">
        <v>50</v>
      </c>
      <c r="E952" t="s">
        <v>32</v>
      </c>
      <c r="F952" t="s">
        <v>41</v>
      </c>
      <c r="G952" t="s">
        <v>37</v>
      </c>
      <c r="H952">
        <v>2</v>
      </c>
      <c r="I952">
        <v>900.08</v>
      </c>
      <c r="J952">
        <v>0.15</v>
      </c>
      <c r="K952">
        <v>1530.14</v>
      </c>
      <c r="L952">
        <v>1200</v>
      </c>
      <c r="M952">
        <v>330.14</v>
      </c>
      <c r="N952" t="s">
        <v>33</v>
      </c>
      <c r="O952" t="s">
        <v>28</v>
      </c>
    </row>
    <row r="953" spans="1:15" x14ac:dyDescent="0.35">
      <c r="A953" t="s">
        <v>1279</v>
      </c>
      <c r="B953" s="1">
        <v>45711</v>
      </c>
      <c r="C953" t="s">
        <v>310</v>
      </c>
      <c r="D953" t="s">
        <v>66</v>
      </c>
      <c r="E953" t="s">
        <v>61</v>
      </c>
      <c r="F953" t="s">
        <v>41</v>
      </c>
      <c r="G953" t="s">
        <v>37</v>
      </c>
      <c r="H953">
        <v>6</v>
      </c>
      <c r="I953">
        <v>846.81</v>
      </c>
      <c r="J953">
        <v>0</v>
      </c>
      <c r="K953">
        <v>5080.8599999999997</v>
      </c>
      <c r="L953">
        <v>3600</v>
      </c>
      <c r="M953">
        <v>1480.86</v>
      </c>
      <c r="N953" t="s">
        <v>38</v>
      </c>
      <c r="O953" t="s">
        <v>42</v>
      </c>
    </row>
    <row r="954" spans="1:15" x14ac:dyDescent="0.35">
      <c r="A954" t="s">
        <v>1280</v>
      </c>
      <c r="B954" s="1">
        <v>45757</v>
      </c>
      <c r="C954" t="s">
        <v>806</v>
      </c>
      <c r="D954" t="s">
        <v>60</v>
      </c>
      <c r="E954" t="s">
        <v>61</v>
      </c>
      <c r="F954" t="s">
        <v>41</v>
      </c>
      <c r="G954" t="s">
        <v>37</v>
      </c>
      <c r="H954">
        <v>3</v>
      </c>
      <c r="I954">
        <v>809.72</v>
      </c>
      <c r="J954">
        <v>0.1</v>
      </c>
      <c r="K954">
        <v>2186.2399999999998</v>
      </c>
      <c r="L954">
        <v>1800</v>
      </c>
      <c r="M954">
        <v>386.24</v>
      </c>
      <c r="N954" t="s">
        <v>38</v>
      </c>
      <c r="O954" t="s">
        <v>22</v>
      </c>
    </row>
    <row r="955" spans="1:15" x14ac:dyDescent="0.35">
      <c r="A955" t="s">
        <v>1281</v>
      </c>
      <c r="B955" s="1">
        <v>45925</v>
      </c>
      <c r="C955" t="s">
        <v>440</v>
      </c>
      <c r="D955" t="s">
        <v>17</v>
      </c>
      <c r="E955" t="s">
        <v>18</v>
      </c>
      <c r="F955" t="s">
        <v>19</v>
      </c>
      <c r="G955" t="s">
        <v>20</v>
      </c>
      <c r="H955">
        <v>3</v>
      </c>
      <c r="I955">
        <v>284.20999999999998</v>
      </c>
      <c r="J955">
        <v>0.05</v>
      </c>
      <c r="K955">
        <v>810</v>
      </c>
      <c r="L955">
        <v>510</v>
      </c>
      <c r="M955">
        <v>300</v>
      </c>
      <c r="N955" t="s">
        <v>47</v>
      </c>
      <c r="O955" t="s">
        <v>42</v>
      </c>
    </row>
    <row r="956" spans="1:15" x14ac:dyDescent="0.35">
      <c r="A956" t="s">
        <v>1282</v>
      </c>
      <c r="B956" s="1">
        <v>45738</v>
      </c>
      <c r="C956" t="s">
        <v>1283</v>
      </c>
      <c r="D956" t="s">
        <v>31</v>
      </c>
      <c r="E956" t="s">
        <v>32</v>
      </c>
      <c r="F956" t="s">
        <v>41</v>
      </c>
      <c r="G956" t="s">
        <v>37</v>
      </c>
      <c r="H956">
        <v>3</v>
      </c>
      <c r="I956">
        <v>887.78</v>
      </c>
      <c r="J956">
        <v>0</v>
      </c>
      <c r="K956">
        <v>2663.34</v>
      </c>
      <c r="L956">
        <v>1800</v>
      </c>
      <c r="M956">
        <v>863.34</v>
      </c>
      <c r="N956" t="s">
        <v>21</v>
      </c>
      <c r="O956" t="s">
        <v>42</v>
      </c>
    </row>
    <row r="957" spans="1:15" x14ac:dyDescent="0.35">
      <c r="A957" t="s">
        <v>1284</v>
      </c>
      <c r="B957" s="1">
        <v>45704</v>
      </c>
      <c r="C957" t="s">
        <v>129</v>
      </c>
      <c r="D957" t="s">
        <v>31</v>
      </c>
      <c r="E957" t="s">
        <v>32</v>
      </c>
      <c r="F957" t="s">
        <v>27</v>
      </c>
      <c r="G957" t="s">
        <v>20</v>
      </c>
      <c r="H957">
        <v>2</v>
      </c>
      <c r="I957">
        <v>194.77</v>
      </c>
      <c r="J957">
        <v>0.05</v>
      </c>
      <c r="K957">
        <v>370.06</v>
      </c>
      <c r="L957">
        <v>220</v>
      </c>
      <c r="M957">
        <v>150.06</v>
      </c>
      <c r="N957" t="s">
        <v>21</v>
      </c>
      <c r="O957" t="s">
        <v>28</v>
      </c>
    </row>
    <row r="958" spans="1:15" x14ac:dyDescent="0.35">
      <c r="A958" t="s">
        <v>1285</v>
      </c>
      <c r="B958" s="1">
        <v>45788</v>
      </c>
      <c r="C958" t="s">
        <v>306</v>
      </c>
      <c r="D958" t="s">
        <v>58</v>
      </c>
      <c r="E958" t="s">
        <v>18</v>
      </c>
      <c r="F958" t="s">
        <v>51</v>
      </c>
      <c r="G958" t="s">
        <v>37</v>
      </c>
      <c r="H958">
        <v>3</v>
      </c>
      <c r="I958">
        <v>251.08</v>
      </c>
      <c r="J958">
        <v>0.05</v>
      </c>
      <c r="K958">
        <v>715.58</v>
      </c>
      <c r="L958">
        <v>450</v>
      </c>
      <c r="M958">
        <v>265.58</v>
      </c>
      <c r="N958" t="s">
        <v>38</v>
      </c>
      <c r="O958" t="s">
        <v>28</v>
      </c>
    </row>
    <row r="959" spans="1:15" x14ac:dyDescent="0.35">
      <c r="A959" t="s">
        <v>1286</v>
      </c>
      <c r="B959" s="1">
        <v>45953</v>
      </c>
      <c r="C959" t="s">
        <v>1287</v>
      </c>
      <c r="D959" t="s">
        <v>60</v>
      </c>
      <c r="E959" t="s">
        <v>61</v>
      </c>
      <c r="F959" t="s">
        <v>19</v>
      </c>
      <c r="G959" t="s">
        <v>20</v>
      </c>
      <c r="H959">
        <v>1</v>
      </c>
      <c r="I959">
        <v>270.43</v>
      </c>
      <c r="J959">
        <v>0.15</v>
      </c>
      <c r="K959">
        <v>229.87</v>
      </c>
      <c r="L959">
        <v>170</v>
      </c>
      <c r="M959">
        <v>59.87</v>
      </c>
      <c r="N959" t="s">
        <v>33</v>
      </c>
      <c r="O959" t="s">
        <v>42</v>
      </c>
    </row>
    <row r="960" spans="1:15" x14ac:dyDescent="0.35">
      <c r="A960" t="s">
        <v>1288</v>
      </c>
      <c r="B960" s="1">
        <v>45772</v>
      </c>
      <c r="C960" t="s">
        <v>167</v>
      </c>
      <c r="D960" t="s">
        <v>50</v>
      </c>
      <c r="E960" t="s">
        <v>32</v>
      </c>
      <c r="F960" t="s">
        <v>108</v>
      </c>
      <c r="G960" t="s">
        <v>37</v>
      </c>
      <c r="H960">
        <v>5</v>
      </c>
      <c r="I960">
        <v>437.84</v>
      </c>
      <c r="J960">
        <v>0</v>
      </c>
      <c r="K960">
        <v>2189.1999999999998</v>
      </c>
      <c r="L960">
        <v>1400</v>
      </c>
      <c r="M960">
        <v>789.2</v>
      </c>
      <c r="N960" t="s">
        <v>21</v>
      </c>
      <c r="O960" t="s">
        <v>42</v>
      </c>
    </row>
    <row r="961" spans="1:15" x14ac:dyDescent="0.35">
      <c r="A961" t="s">
        <v>1289</v>
      </c>
      <c r="B961" s="1">
        <v>45761</v>
      </c>
      <c r="C961" t="s">
        <v>480</v>
      </c>
      <c r="D961" t="s">
        <v>17</v>
      </c>
      <c r="E961" t="s">
        <v>18</v>
      </c>
      <c r="F961" t="s">
        <v>51</v>
      </c>
      <c r="G961" t="s">
        <v>37</v>
      </c>
      <c r="H961">
        <v>1</v>
      </c>
      <c r="I961">
        <v>251.78</v>
      </c>
      <c r="J961">
        <v>0.05</v>
      </c>
      <c r="K961">
        <v>239.19</v>
      </c>
      <c r="L961">
        <v>150</v>
      </c>
      <c r="M961">
        <v>89.19</v>
      </c>
      <c r="N961" t="s">
        <v>33</v>
      </c>
      <c r="O961" t="s">
        <v>28</v>
      </c>
    </row>
    <row r="962" spans="1:15" x14ac:dyDescent="0.35">
      <c r="A962" t="s">
        <v>1290</v>
      </c>
      <c r="B962" s="1">
        <v>45863</v>
      </c>
      <c r="C962" t="s">
        <v>516</v>
      </c>
      <c r="D962" t="s">
        <v>45</v>
      </c>
      <c r="E962" t="s">
        <v>46</v>
      </c>
      <c r="F962" t="s">
        <v>67</v>
      </c>
      <c r="G962" t="s">
        <v>37</v>
      </c>
      <c r="H962">
        <v>1</v>
      </c>
      <c r="I962">
        <v>71.790000000000006</v>
      </c>
      <c r="J962">
        <v>0.05</v>
      </c>
      <c r="K962">
        <v>68.2</v>
      </c>
      <c r="L962">
        <v>40</v>
      </c>
      <c r="M962">
        <v>28.2</v>
      </c>
      <c r="N962" t="s">
        <v>21</v>
      </c>
      <c r="O962" t="s">
        <v>42</v>
      </c>
    </row>
    <row r="963" spans="1:15" x14ac:dyDescent="0.35">
      <c r="A963" t="s">
        <v>1291</v>
      </c>
      <c r="B963" s="1">
        <v>45963</v>
      </c>
      <c r="C963" t="s">
        <v>503</v>
      </c>
      <c r="D963" t="s">
        <v>17</v>
      </c>
      <c r="E963" t="s">
        <v>18</v>
      </c>
      <c r="F963" t="s">
        <v>36</v>
      </c>
      <c r="G963" t="s">
        <v>37</v>
      </c>
      <c r="H963">
        <v>1</v>
      </c>
      <c r="I963">
        <v>122.85</v>
      </c>
      <c r="J963">
        <v>0</v>
      </c>
      <c r="K963">
        <v>122.85</v>
      </c>
      <c r="L963">
        <v>60</v>
      </c>
      <c r="M963">
        <v>62.85</v>
      </c>
      <c r="N963" t="s">
        <v>21</v>
      </c>
      <c r="O963" t="s">
        <v>28</v>
      </c>
    </row>
    <row r="964" spans="1:15" x14ac:dyDescent="0.35">
      <c r="A964" t="s">
        <v>1292</v>
      </c>
      <c r="B964" s="1">
        <v>45866</v>
      </c>
      <c r="C964" t="s">
        <v>1194</v>
      </c>
      <c r="D964" t="s">
        <v>45</v>
      </c>
      <c r="E964" t="s">
        <v>46</v>
      </c>
      <c r="F964" t="s">
        <v>36</v>
      </c>
      <c r="G964" t="s">
        <v>37</v>
      </c>
      <c r="H964">
        <v>2</v>
      </c>
      <c r="I964">
        <v>116.2</v>
      </c>
      <c r="J964">
        <v>0.05</v>
      </c>
      <c r="K964">
        <v>220.78</v>
      </c>
      <c r="L964">
        <v>120</v>
      </c>
      <c r="M964">
        <v>100.78</v>
      </c>
      <c r="N964" t="s">
        <v>38</v>
      </c>
      <c r="O964" t="s">
        <v>28</v>
      </c>
    </row>
    <row r="965" spans="1:15" x14ac:dyDescent="0.35">
      <c r="A965" t="s">
        <v>1293</v>
      </c>
      <c r="B965" s="1">
        <v>45983</v>
      </c>
      <c r="C965" t="s">
        <v>848</v>
      </c>
      <c r="D965" t="s">
        <v>50</v>
      </c>
      <c r="E965" t="s">
        <v>32</v>
      </c>
      <c r="F965" t="s">
        <v>19</v>
      </c>
      <c r="G965" t="s">
        <v>20</v>
      </c>
      <c r="H965">
        <v>2</v>
      </c>
      <c r="I965">
        <v>281.98</v>
      </c>
      <c r="J965">
        <v>0.1</v>
      </c>
      <c r="K965">
        <v>507.56</v>
      </c>
      <c r="L965">
        <v>340</v>
      </c>
      <c r="M965">
        <v>167.56</v>
      </c>
      <c r="N965" t="s">
        <v>21</v>
      </c>
      <c r="O965" t="s">
        <v>42</v>
      </c>
    </row>
    <row r="966" spans="1:15" x14ac:dyDescent="0.35">
      <c r="A966" t="s">
        <v>1294</v>
      </c>
      <c r="B966" s="1">
        <v>45777</v>
      </c>
      <c r="C966" t="s">
        <v>778</v>
      </c>
      <c r="D966" t="s">
        <v>58</v>
      </c>
      <c r="E966" t="s">
        <v>18</v>
      </c>
      <c r="F966" t="s">
        <v>27</v>
      </c>
      <c r="G966" t="s">
        <v>20</v>
      </c>
      <c r="H966">
        <v>2</v>
      </c>
      <c r="I966">
        <v>181.65</v>
      </c>
      <c r="J966">
        <v>0</v>
      </c>
      <c r="K966">
        <v>363.3</v>
      </c>
      <c r="L966">
        <v>220</v>
      </c>
      <c r="M966">
        <v>143.30000000000001</v>
      </c>
      <c r="N966" t="s">
        <v>38</v>
      </c>
      <c r="O966" t="s">
        <v>28</v>
      </c>
    </row>
    <row r="967" spans="1:15" x14ac:dyDescent="0.35">
      <c r="A967" t="s">
        <v>1295</v>
      </c>
      <c r="B967" s="1">
        <v>45794</v>
      </c>
      <c r="C967" t="s">
        <v>204</v>
      </c>
      <c r="D967" t="s">
        <v>17</v>
      </c>
      <c r="E967" t="s">
        <v>18</v>
      </c>
      <c r="F967" t="s">
        <v>41</v>
      </c>
      <c r="G967" t="s">
        <v>37</v>
      </c>
      <c r="H967">
        <v>5</v>
      </c>
      <c r="I967">
        <v>869.94</v>
      </c>
      <c r="J967">
        <v>0.05</v>
      </c>
      <c r="K967">
        <v>4132.22</v>
      </c>
      <c r="L967">
        <v>3000</v>
      </c>
      <c r="M967">
        <v>1132.22</v>
      </c>
      <c r="N967" t="s">
        <v>33</v>
      </c>
      <c r="O967" t="s">
        <v>42</v>
      </c>
    </row>
    <row r="968" spans="1:15" x14ac:dyDescent="0.35">
      <c r="A968" t="s">
        <v>1296</v>
      </c>
      <c r="B968" s="1">
        <v>45995</v>
      </c>
      <c r="C968" t="s">
        <v>438</v>
      </c>
      <c r="D968" t="s">
        <v>17</v>
      </c>
      <c r="E968" t="s">
        <v>18</v>
      </c>
      <c r="F968" t="s">
        <v>27</v>
      </c>
      <c r="G968" t="s">
        <v>20</v>
      </c>
      <c r="H968">
        <v>3</v>
      </c>
      <c r="I968">
        <v>190.17</v>
      </c>
      <c r="J968">
        <v>0</v>
      </c>
      <c r="K968">
        <v>570.51</v>
      </c>
      <c r="L968">
        <v>330</v>
      </c>
      <c r="M968">
        <v>240.51</v>
      </c>
      <c r="N968" t="s">
        <v>47</v>
      </c>
      <c r="O968" t="s">
        <v>42</v>
      </c>
    </row>
    <row r="969" spans="1:15" x14ac:dyDescent="0.35">
      <c r="A969" t="s">
        <v>1297</v>
      </c>
      <c r="B969" s="1">
        <v>45926</v>
      </c>
      <c r="C969" t="s">
        <v>497</v>
      </c>
      <c r="D969" t="s">
        <v>45</v>
      </c>
      <c r="E969" t="s">
        <v>46</v>
      </c>
      <c r="F969" t="s">
        <v>51</v>
      </c>
      <c r="G969" t="s">
        <v>37</v>
      </c>
      <c r="H969">
        <v>2</v>
      </c>
      <c r="I969">
        <v>235.77</v>
      </c>
      <c r="J969">
        <v>0.1</v>
      </c>
      <c r="K969">
        <v>424.39</v>
      </c>
      <c r="L969">
        <v>300</v>
      </c>
      <c r="M969">
        <v>124.39</v>
      </c>
      <c r="N969" t="s">
        <v>21</v>
      </c>
      <c r="O969" t="s">
        <v>28</v>
      </c>
    </row>
    <row r="970" spans="1:15" x14ac:dyDescent="0.35">
      <c r="A970" t="s">
        <v>1298</v>
      </c>
      <c r="B970" s="1">
        <v>45758</v>
      </c>
      <c r="C970" t="s">
        <v>841</v>
      </c>
      <c r="D970" t="s">
        <v>45</v>
      </c>
      <c r="E970" t="s">
        <v>46</v>
      </c>
      <c r="F970" t="s">
        <v>78</v>
      </c>
      <c r="G970" t="s">
        <v>20</v>
      </c>
      <c r="H970">
        <v>5</v>
      </c>
      <c r="I970">
        <v>327.99</v>
      </c>
      <c r="J970">
        <v>0.05</v>
      </c>
      <c r="K970">
        <v>1557.95</v>
      </c>
      <c r="L970">
        <v>1000</v>
      </c>
      <c r="M970">
        <v>557.95000000000005</v>
      </c>
      <c r="N970" t="s">
        <v>33</v>
      </c>
      <c r="O970" t="s">
        <v>28</v>
      </c>
    </row>
    <row r="971" spans="1:15" x14ac:dyDescent="0.35">
      <c r="A971" t="s">
        <v>1299</v>
      </c>
      <c r="B971" s="1">
        <v>45697</v>
      </c>
      <c r="C971" t="s">
        <v>601</v>
      </c>
      <c r="D971" t="s">
        <v>45</v>
      </c>
      <c r="E971" t="s">
        <v>46</v>
      </c>
      <c r="F971" t="s">
        <v>78</v>
      </c>
      <c r="G971" t="s">
        <v>20</v>
      </c>
      <c r="H971">
        <v>2</v>
      </c>
      <c r="I971">
        <v>329.89</v>
      </c>
      <c r="J971">
        <v>0.1</v>
      </c>
      <c r="K971">
        <v>593.79999999999995</v>
      </c>
      <c r="L971">
        <v>400</v>
      </c>
      <c r="M971">
        <v>193.8</v>
      </c>
      <c r="N971" t="s">
        <v>47</v>
      </c>
      <c r="O971" t="s">
        <v>28</v>
      </c>
    </row>
    <row r="972" spans="1:15" x14ac:dyDescent="0.35">
      <c r="A972" t="s">
        <v>1300</v>
      </c>
      <c r="B972" s="1">
        <v>45917</v>
      </c>
      <c r="C972" t="s">
        <v>743</v>
      </c>
      <c r="D972" t="s">
        <v>66</v>
      </c>
      <c r="E972" t="s">
        <v>61</v>
      </c>
      <c r="F972" t="s">
        <v>36</v>
      </c>
      <c r="G972" t="s">
        <v>37</v>
      </c>
      <c r="H972">
        <v>5</v>
      </c>
      <c r="I972">
        <v>116.29</v>
      </c>
      <c r="J972">
        <v>0</v>
      </c>
      <c r="K972">
        <v>581.45000000000005</v>
      </c>
      <c r="L972">
        <v>300</v>
      </c>
      <c r="M972">
        <v>281.45</v>
      </c>
      <c r="N972" t="s">
        <v>38</v>
      </c>
      <c r="O972" t="s">
        <v>28</v>
      </c>
    </row>
    <row r="973" spans="1:15" x14ac:dyDescent="0.35">
      <c r="A973" t="s">
        <v>1301</v>
      </c>
      <c r="B973" s="1">
        <v>45801</v>
      </c>
      <c r="C973" t="s">
        <v>167</v>
      </c>
      <c r="D973" t="s">
        <v>45</v>
      </c>
      <c r="E973" t="s">
        <v>46</v>
      </c>
      <c r="F973" t="s">
        <v>27</v>
      </c>
      <c r="G973" t="s">
        <v>20</v>
      </c>
      <c r="H973">
        <v>2</v>
      </c>
      <c r="I973">
        <v>188.36</v>
      </c>
      <c r="J973">
        <v>0.05</v>
      </c>
      <c r="K973">
        <v>357.88</v>
      </c>
      <c r="L973">
        <v>220</v>
      </c>
      <c r="M973">
        <v>137.88</v>
      </c>
      <c r="N973" t="s">
        <v>33</v>
      </c>
      <c r="O973" t="s">
        <v>28</v>
      </c>
    </row>
    <row r="974" spans="1:15" x14ac:dyDescent="0.35">
      <c r="A974" t="s">
        <v>1302</v>
      </c>
      <c r="B974" s="1">
        <v>45675</v>
      </c>
      <c r="C974" t="s">
        <v>1303</v>
      </c>
      <c r="D974" t="s">
        <v>17</v>
      </c>
      <c r="E974" t="s">
        <v>18</v>
      </c>
      <c r="F974" t="s">
        <v>36</v>
      </c>
      <c r="G974" t="s">
        <v>37</v>
      </c>
      <c r="H974">
        <v>1</v>
      </c>
      <c r="I974">
        <v>114.88</v>
      </c>
      <c r="J974">
        <v>0</v>
      </c>
      <c r="K974">
        <v>114.88</v>
      </c>
      <c r="L974">
        <v>60</v>
      </c>
      <c r="M974">
        <v>54.88</v>
      </c>
      <c r="N974" t="s">
        <v>47</v>
      </c>
      <c r="O974" t="s">
        <v>28</v>
      </c>
    </row>
    <row r="975" spans="1:15" x14ac:dyDescent="0.35">
      <c r="A975" t="s">
        <v>1304</v>
      </c>
      <c r="B975" s="1">
        <v>45716</v>
      </c>
      <c r="C975" t="s">
        <v>1303</v>
      </c>
      <c r="D975" t="s">
        <v>17</v>
      </c>
      <c r="E975" t="s">
        <v>18</v>
      </c>
      <c r="F975" t="s">
        <v>108</v>
      </c>
      <c r="G975" t="s">
        <v>37</v>
      </c>
      <c r="H975">
        <v>5</v>
      </c>
      <c r="I975">
        <v>429.95</v>
      </c>
      <c r="J975">
        <v>0.15</v>
      </c>
      <c r="K975">
        <v>1827.29</v>
      </c>
      <c r="L975">
        <v>1400</v>
      </c>
      <c r="M975">
        <v>427.29</v>
      </c>
      <c r="N975" t="s">
        <v>47</v>
      </c>
      <c r="O975" t="s">
        <v>42</v>
      </c>
    </row>
    <row r="976" spans="1:15" x14ac:dyDescent="0.35">
      <c r="A976" t="s">
        <v>1305</v>
      </c>
      <c r="B976" s="1">
        <v>45711</v>
      </c>
      <c r="C976" t="s">
        <v>647</v>
      </c>
      <c r="D976" t="s">
        <v>50</v>
      </c>
      <c r="E976" t="s">
        <v>32</v>
      </c>
      <c r="F976" t="s">
        <v>36</v>
      </c>
      <c r="G976" t="s">
        <v>37</v>
      </c>
      <c r="H976">
        <v>4</v>
      </c>
      <c r="I976">
        <v>119.24</v>
      </c>
      <c r="J976">
        <v>0.15</v>
      </c>
      <c r="K976">
        <v>405.42</v>
      </c>
      <c r="L976">
        <v>240</v>
      </c>
      <c r="M976">
        <v>165.42</v>
      </c>
      <c r="N976" t="s">
        <v>47</v>
      </c>
      <c r="O976" t="s">
        <v>28</v>
      </c>
    </row>
    <row r="977" spans="1:15" x14ac:dyDescent="0.35">
      <c r="A977" t="s">
        <v>1306</v>
      </c>
      <c r="B977" s="1">
        <v>45880</v>
      </c>
      <c r="C977" t="s">
        <v>635</v>
      </c>
      <c r="D977" t="s">
        <v>17</v>
      </c>
      <c r="E977" t="s">
        <v>18</v>
      </c>
      <c r="F977" t="s">
        <v>78</v>
      </c>
      <c r="G977" t="s">
        <v>20</v>
      </c>
      <c r="H977">
        <v>4</v>
      </c>
      <c r="I977">
        <v>328</v>
      </c>
      <c r="J977">
        <v>0</v>
      </c>
      <c r="K977">
        <v>1312</v>
      </c>
      <c r="L977">
        <v>800</v>
      </c>
      <c r="M977">
        <v>512</v>
      </c>
      <c r="N977" t="s">
        <v>38</v>
      </c>
      <c r="O977" t="s">
        <v>28</v>
      </c>
    </row>
    <row r="978" spans="1:15" x14ac:dyDescent="0.35">
      <c r="A978" t="s">
        <v>1307</v>
      </c>
      <c r="B978" s="1">
        <v>45863</v>
      </c>
      <c r="C978" t="s">
        <v>1308</v>
      </c>
      <c r="D978" t="s">
        <v>60</v>
      </c>
      <c r="E978" t="s">
        <v>61</v>
      </c>
      <c r="F978" t="s">
        <v>78</v>
      </c>
      <c r="G978" t="s">
        <v>20</v>
      </c>
      <c r="H978">
        <v>1</v>
      </c>
      <c r="I978">
        <v>314.32</v>
      </c>
      <c r="J978">
        <v>0.1</v>
      </c>
      <c r="K978">
        <v>282.89</v>
      </c>
      <c r="L978">
        <v>200</v>
      </c>
      <c r="M978">
        <v>82.89</v>
      </c>
      <c r="N978" t="s">
        <v>47</v>
      </c>
      <c r="O978" t="s">
        <v>22</v>
      </c>
    </row>
    <row r="979" spans="1:15" x14ac:dyDescent="0.35">
      <c r="A979" t="s">
        <v>1309</v>
      </c>
      <c r="B979" s="1">
        <v>45801</v>
      </c>
      <c r="C979" t="s">
        <v>1246</v>
      </c>
      <c r="D979" t="s">
        <v>66</v>
      </c>
      <c r="E979" t="s">
        <v>61</v>
      </c>
      <c r="F979" t="s">
        <v>51</v>
      </c>
      <c r="G979" t="s">
        <v>37</v>
      </c>
      <c r="H979">
        <v>5</v>
      </c>
      <c r="I979">
        <v>248.15</v>
      </c>
      <c r="J979">
        <v>0</v>
      </c>
      <c r="K979">
        <v>1240.75</v>
      </c>
      <c r="L979">
        <v>750</v>
      </c>
      <c r="M979">
        <v>490.75</v>
      </c>
      <c r="N979" t="s">
        <v>33</v>
      </c>
      <c r="O979" t="s">
        <v>28</v>
      </c>
    </row>
    <row r="980" spans="1:15" x14ac:dyDescent="0.35">
      <c r="A980" t="s">
        <v>1310</v>
      </c>
      <c r="B980" s="1">
        <v>45822</v>
      </c>
      <c r="C980" t="s">
        <v>381</v>
      </c>
      <c r="D980" t="s">
        <v>66</v>
      </c>
      <c r="E980" t="s">
        <v>61</v>
      </c>
      <c r="F980" t="s">
        <v>108</v>
      </c>
      <c r="G980" t="s">
        <v>37</v>
      </c>
      <c r="H980">
        <v>2</v>
      </c>
      <c r="I980">
        <v>406.45</v>
      </c>
      <c r="J980">
        <v>0</v>
      </c>
      <c r="K980">
        <v>812.9</v>
      </c>
      <c r="L980">
        <v>560</v>
      </c>
      <c r="M980">
        <v>252.9</v>
      </c>
      <c r="N980" t="s">
        <v>21</v>
      </c>
      <c r="O980" t="s">
        <v>28</v>
      </c>
    </row>
    <row r="981" spans="1:15" x14ac:dyDescent="0.35">
      <c r="A981" t="s">
        <v>1311</v>
      </c>
      <c r="B981" s="1">
        <v>45841</v>
      </c>
      <c r="C981" t="s">
        <v>703</v>
      </c>
      <c r="D981" t="s">
        <v>17</v>
      </c>
      <c r="E981" t="s">
        <v>18</v>
      </c>
      <c r="F981" t="s">
        <v>41</v>
      </c>
      <c r="G981" t="s">
        <v>37</v>
      </c>
      <c r="H981">
        <v>2</v>
      </c>
      <c r="I981">
        <v>828.91</v>
      </c>
      <c r="J981">
        <v>0.2</v>
      </c>
      <c r="K981">
        <v>1326.26</v>
      </c>
      <c r="L981">
        <v>1200</v>
      </c>
      <c r="M981">
        <v>126.26</v>
      </c>
      <c r="N981" t="s">
        <v>21</v>
      </c>
      <c r="O981" t="s">
        <v>28</v>
      </c>
    </row>
    <row r="982" spans="1:15" x14ac:dyDescent="0.35">
      <c r="A982" t="s">
        <v>1312</v>
      </c>
      <c r="B982" s="1">
        <v>45921</v>
      </c>
      <c r="C982" t="s">
        <v>899</v>
      </c>
      <c r="D982" t="s">
        <v>25</v>
      </c>
      <c r="E982" t="s">
        <v>26</v>
      </c>
      <c r="F982" t="s">
        <v>36</v>
      </c>
      <c r="G982" t="s">
        <v>37</v>
      </c>
      <c r="H982">
        <v>3</v>
      </c>
      <c r="I982">
        <v>123.53</v>
      </c>
      <c r="J982">
        <v>0</v>
      </c>
      <c r="K982">
        <v>370.59</v>
      </c>
      <c r="L982">
        <v>180</v>
      </c>
      <c r="M982">
        <v>190.59</v>
      </c>
      <c r="N982" t="s">
        <v>21</v>
      </c>
      <c r="O982" t="s">
        <v>28</v>
      </c>
    </row>
    <row r="983" spans="1:15" x14ac:dyDescent="0.35">
      <c r="A983" t="s">
        <v>1313</v>
      </c>
      <c r="B983" s="1">
        <v>45661</v>
      </c>
      <c r="C983" t="s">
        <v>1314</v>
      </c>
      <c r="D983" t="s">
        <v>60</v>
      </c>
      <c r="E983" t="s">
        <v>61</v>
      </c>
      <c r="F983" t="s">
        <v>67</v>
      </c>
      <c r="G983" t="s">
        <v>37</v>
      </c>
      <c r="H983">
        <v>2</v>
      </c>
      <c r="I983">
        <v>72.16</v>
      </c>
      <c r="J983">
        <v>0.1</v>
      </c>
      <c r="K983">
        <v>129.88999999999999</v>
      </c>
      <c r="L983">
        <v>80</v>
      </c>
      <c r="M983">
        <v>49.89</v>
      </c>
      <c r="N983" t="s">
        <v>47</v>
      </c>
      <c r="O983" t="s">
        <v>42</v>
      </c>
    </row>
    <row r="984" spans="1:15" x14ac:dyDescent="0.35">
      <c r="A984" t="s">
        <v>1315</v>
      </c>
      <c r="B984" s="1">
        <v>45864</v>
      </c>
      <c r="C984" t="s">
        <v>587</v>
      </c>
      <c r="D984" t="s">
        <v>58</v>
      </c>
      <c r="E984" t="s">
        <v>18</v>
      </c>
      <c r="F984" t="s">
        <v>108</v>
      </c>
      <c r="G984" t="s">
        <v>37</v>
      </c>
      <c r="H984">
        <v>2</v>
      </c>
      <c r="I984">
        <v>407.22</v>
      </c>
      <c r="J984">
        <v>0</v>
      </c>
      <c r="K984">
        <v>814.44</v>
      </c>
      <c r="L984">
        <v>560</v>
      </c>
      <c r="M984">
        <v>254.44</v>
      </c>
      <c r="N984" t="s">
        <v>38</v>
      </c>
      <c r="O984" t="s">
        <v>28</v>
      </c>
    </row>
    <row r="985" spans="1:15" x14ac:dyDescent="0.35">
      <c r="A985" t="s">
        <v>1316</v>
      </c>
      <c r="B985" s="1">
        <v>45692</v>
      </c>
      <c r="C985" t="s">
        <v>141</v>
      </c>
      <c r="D985" t="s">
        <v>17</v>
      </c>
      <c r="E985" t="s">
        <v>18</v>
      </c>
      <c r="F985" t="s">
        <v>51</v>
      </c>
      <c r="G985" t="s">
        <v>37</v>
      </c>
      <c r="H985">
        <v>3</v>
      </c>
      <c r="I985">
        <v>236.04</v>
      </c>
      <c r="J985">
        <v>0.05</v>
      </c>
      <c r="K985">
        <v>672.71</v>
      </c>
      <c r="L985">
        <v>450</v>
      </c>
      <c r="M985">
        <v>222.71</v>
      </c>
      <c r="N985" t="s">
        <v>47</v>
      </c>
      <c r="O985" t="s">
        <v>28</v>
      </c>
    </row>
    <row r="986" spans="1:15" x14ac:dyDescent="0.35">
      <c r="A986" t="s">
        <v>1317</v>
      </c>
      <c r="B986" s="1">
        <v>45712</v>
      </c>
      <c r="C986" t="s">
        <v>143</v>
      </c>
      <c r="D986" t="s">
        <v>45</v>
      </c>
      <c r="E986" t="s">
        <v>46</v>
      </c>
      <c r="F986" t="s">
        <v>19</v>
      </c>
      <c r="G986" t="s">
        <v>20</v>
      </c>
      <c r="H986">
        <v>2</v>
      </c>
      <c r="I986">
        <v>272.32</v>
      </c>
      <c r="J986">
        <v>0</v>
      </c>
      <c r="K986">
        <v>544.64</v>
      </c>
      <c r="L986">
        <v>340</v>
      </c>
      <c r="M986">
        <v>204.64</v>
      </c>
      <c r="N986" t="s">
        <v>38</v>
      </c>
      <c r="O986" t="s">
        <v>28</v>
      </c>
    </row>
    <row r="987" spans="1:15" x14ac:dyDescent="0.35">
      <c r="A987" t="s">
        <v>1318</v>
      </c>
      <c r="B987" s="1">
        <v>45892</v>
      </c>
      <c r="C987" t="s">
        <v>160</v>
      </c>
      <c r="D987" t="s">
        <v>25</v>
      </c>
      <c r="E987" t="s">
        <v>26</v>
      </c>
      <c r="F987" t="s">
        <v>78</v>
      </c>
      <c r="G987" t="s">
        <v>20</v>
      </c>
      <c r="H987">
        <v>3</v>
      </c>
      <c r="I987">
        <v>337.47</v>
      </c>
      <c r="J987">
        <v>0</v>
      </c>
      <c r="K987">
        <v>1012.41</v>
      </c>
      <c r="L987">
        <v>600</v>
      </c>
      <c r="M987">
        <v>412.41</v>
      </c>
      <c r="N987" t="s">
        <v>38</v>
      </c>
      <c r="O987" t="s">
        <v>28</v>
      </c>
    </row>
    <row r="988" spans="1:15" x14ac:dyDescent="0.35">
      <c r="A988" t="s">
        <v>1319</v>
      </c>
      <c r="B988" s="1">
        <v>45892</v>
      </c>
      <c r="C988" t="s">
        <v>729</v>
      </c>
      <c r="D988" t="s">
        <v>50</v>
      </c>
      <c r="E988" t="s">
        <v>32</v>
      </c>
      <c r="F988" t="s">
        <v>67</v>
      </c>
      <c r="G988" t="s">
        <v>37</v>
      </c>
      <c r="H988">
        <v>1</v>
      </c>
      <c r="I988">
        <v>80.73</v>
      </c>
      <c r="J988">
        <v>0</v>
      </c>
      <c r="K988">
        <v>80.73</v>
      </c>
      <c r="L988">
        <v>40</v>
      </c>
      <c r="M988">
        <v>40.729999999999997</v>
      </c>
      <c r="N988" t="s">
        <v>33</v>
      </c>
      <c r="O988" t="s">
        <v>28</v>
      </c>
    </row>
    <row r="989" spans="1:15" x14ac:dyDescent="0.35">
      <c r="A989" t="s">
        <v>1320</v>
      </c>
      <c r="B989" s="1">
        <v>45786</v>
      </c>
      <c r="C989" t="s">
        <v>541</v>
      </c>
      <c r="D989" t="s">
        <v>66</v>
      </c>
      <c r="E989" t="s">
        <v>61</v>
      </c>
      <c r="F989" t="s">
        <v>36</v>
      </c>
      <c r="G989" t="s">
        <v>37</v>
      </c>
      <c r="H989">
        <v>3</v>
      </c>
      <c r="I989">
        <v>115.48</v>
      </c>
      <c r="J989">
        <v>0</v>
      </c>
      <c r="K989">
        <v>346.44</v>
      </c>
      <c r="L989">
        <v>180</v>
      </c>
      <c r="M989">
        <v>166.44</v>
      </c>
      <c r="N989" t="s">
        <v>21</v>
      </c>
      <c r="O989" t="s">
        <v>22</v>
      </c>
    </row>
    <row r="990" spans="1:15" x14ac:dyDescent="0.35">
      <c r="A990" t="s">
        <v>1321</v>
      </c>
      <c r="B990" s="1">
        <v>45736</v>
      </c>
      <c r="C990" t="s">
        <v>418</v>
      </c>
      <c r="D990" t="s">
        <v>31</v>
      </c>
      <c r="E990" t="s">
        <v>32</v>
      </c>
      <c r="F990" t="s">
        <v>41</v>
      </c>
      <c r="G990" t="s">
        <v>37</v>
      </c>
      <c r="H990">
        <v>1</v>
      </c>
      <c r="I990">
        <v>872.17</v>
      </c>
      <c r="J990">
        <v>0.05</v>
      </c>
      <c r="K990">
        <v>828.56</v>
      </c>
      <c r="L990">
        <v>600</v>
      </c>
      <c r="M990">
        <v>228.56</v>
      </c>
      <c r="N990" t="s">
        <v>47</v>
      </c>
      <c r="O990" t="s">
        <v>28</v>
      </c>
    </row>
    <row r="991" spans="1:15" x14ac:dyDescent="0.35">
      <c r="A991" t="s">
        <v>1322</v>
      </c>
      <c r="B991" s="1">
        <v>45923</v>
      </c>
      <c r="C991" t="s">
        <v>1323</v>
      </c>
      <c r="D991" t="s">
        <v>31</v>
      </c>
      <c r="E991" t="s">
        <v>32</v>
      </c>
      <c r="F991" t="s">
        <v>41</v>
      </c>
      <c r="G991" t="s">
        <v>37</v>
      </c>
      <c r="H991">
        <v>1</v>
      </c>
      <c r="I991">
        <v>907.43</v>
      </c>
      <c r="J991">
        <v>0</v>
      </c>
      <c r="K991">
        <v>907.43</v>
      </c>
      <c r="L991">
        <v>600</v>
      </c>
      <c r="M991">
        <v>307.43</v>
      </c>
      <c r="N991" t="s">
        <v>33</v>
      </c>
      <c r="O991" t="s">
        <v>42</v>
      </c>
    </row>
    <row r="992" spans="1:15" x14ac:dyDescent="0.35">
      <c r="A992" t="s">
        <v>1324</v>
      </c>
      <c r="B992" s="1">
        <v>45814</v>
      </c>
      <c r="C992" t="s">
        <v>191</v>
      </c>
      <c r="D992" t="s">
        <v>66</v>
      </c>
      <c r="E992" t="s">
        <v>61</v>
      </c>
      <c r="F992" t="s">
        <v>67</v>
      </c>
      <c r="G992" t="s">
        <v>37</v>
      </c>
      <c r="H992">
        <v>1</v>
      </c>
      <c r="I992">
        <v>78.010000000000005</v>
      </c>
      <c r="J992">
        <v>0</v>
      </c>
      <c r="K992">
        <v>78.010000000000005</v>
      </c>
      <c r="L992">
        <v>40</v>
      </c>
      <c r="M992">
        <v>38.01</v>
      </c>
      <c r="N992" t="s">
        <v>38</v>
      </c>
      <c r="O992" t="s">
        <v>22</v>
      </c>
    </row>
    <row r="993" spans="1:15" x14ac:dyDescent="0.35">
      <c r="A993" t="s">
        <v>1325</v>
      </c>
      <c r="B993" s="1">
        <v>45752</v>
      </c>
      <c r="C993" t="s">
        <v>729</v>
      </c>
      <c r="D993" t="s">
        <v>17</v>
      </c>
      <c r="E993" t="s">
        <v>18</v>
      </c>
      <c r="F993" t="s">
        <v>51</v>
      </c>
      <c r="G993" t="s">
        <v>37</v>
      </c>
      <c r="H993">
        <v>1</v>
      </c>
      <c r="I993">
        <v>255.42</v>
      </c>
      <c r="J993">
        <v>0</v>
      </c>
      <c r="K993">
        <v>255.42</v>
      </c>
      <c r="L993">
        <v>150</v>
      </c>
      <c r="M993">
        <v>105.42</v>
      </c>
      <c r="N993" t="s">
        <v>47</v>
      </c>
      <c r="O993" t="s">
        <v>42</v>
      </c>
    </row>
    <row r="994" spans="1:15" x14ac:dyDescent="0.35">
      <c r="A994" t="s">
        <v>1326</v>
      </c>
      <c r="B994" s="1">
        <v>45790</v>
      </c>
      <c r="C994" t="s">
        <v>913</v>
      </c>
      <c r="D994" t="s">
        <v>45</v>
      </c>
      <c r="E994" t="s">
        <v>46</v>
      </c>
      <c r="F994" t="s">
        <v>19</v>
      </c>
      <c r="G994" t="s">
        <v>20</v>
      </c>
      <c r="H994">
        <v>3</v>
      </c>
      <c r="I994">
        <v>294.70999999999998</v>
      </c>
      <c r="J994">
        <v>0.05</v>
      </c>
      <c r="K994">
        <v>839.92</v>
      </c>
      <c r="L994">
        <v>510</v>
      </c>
      <c r="M994">
        <v>329.92</v>
      </c>
      <c r="N994" t="s">
        <v>21</v>
      </c>
      <c r="O994" t="s">
        <v>28</v>
      </c>
    </row>
    <row r="995" spans="1:15" x14ac:dyDescent="0.35">
      <c r="A995" t="s">
        <v>1327</v>
      </c>
      <c r="B995" s="1">
        <v>45916</v>
      </c>
      <c r="C995" t="s">
        <v>270</v>
      </c>
      <c r="D995" t="s">
        <v>58</v>
      </c>
      <c r="E995" t="s">
        <v>18</v>
      </c>
      <c r="F995" t="s">
        <v>108</v>
      </c>
      <c r="G995" t="s">
        <v>37</v>
      </c>
      <c r="H995">
        <v>2</v>
      </c>
      <c r="I995">
        <v>449.33</v>
      </c>
      <c r="J995">
        <v>0</v>
      </c>
      <c r="K995">
        <v>898.66</v>
      </c>
      <c r="L995">
        <v>560</v>
      </c>
      <c r="M995">
        <v>338.66</v>
      </c>
      <c r="N995" t="s">
        <v>21</v>
      </c>
      <c r="O995" t="s">
        <v>22</v>
      </c>
    </row>
    <row r="996" spans="1:15" x14ac:dyDescent="0.35">
      <c r="A996" t="s">
        <v>1328</v>
      </c>
      <c r="B996" s="1">
        <v>45854</v>
      </c>
      <c r="C996" t="s">
        <v>422</v>
      </c>
      <c r="D996" t="s">
        <v>50</v>
      </c>
      <c r="E996" t="s">
        <v>32</v>
      </c>
      <c r="F996" t="s">
        <v>36</v>
      </c>
      <c r="G996" t="s">
        <v>37</v>
      </c>
      <c r="H996">
        <v>3</v>
      </c>
      <c r="I996">
        <v>120.84</v>
      </c>
      <c r="J996">
        <v>0</v>
      </c>
      <c r="K996">
        <v>362.52</v>
      </c>
      <c r="L996">
        <v>180</v>
      </c>
      <c r="M996">
        <v>182.52</v>
      </c>
      <c r="N996" t="s">
        <v>38</v>
      </c>
      <c r="O996" t="s">
        <v>28</v>
      </c>
    </row>
    <row r="997" spans="1:15" x14ac:dyDescent="0.35">
      <c r="A997" t="s">
        <v>1329</v>
      </c>
      <c r="B997" s="1">
        <v>45921</v>
      </c>
      <c r="C997" t="s">
        <v>589</v>
      </c>
      <c r="D997" t="s">
        <v>50</v>
      </c>
      <c r="E997" t="s">
        <v>32</v>
      </c>
      <c r="F997" t="s">
        <v>51</v>
      </c>
      <c r="G997" t="s">
        <v>37</v>
      </c>
      <c r="H997">
        <v>3</v>
      </c>
      <c r="I997">
        <v>236.55</v>
      </c>
      <c r="J997">
        <v>0</v>
      </c>
      <c r="K997">
        <v>709.65</v>
      </c>
      <c r="L997">
        <v>450</v>
      </c>
      <c r="M997">
        <v>259.64999999999998</v>
      </c>
      <c r="N997" t="s">
        <v>21</v>
      </c>
      <c r="O997" t="s">
        <v>28</v>
      </c>
    </row>
    <row r="998" spans="1:15" x14ac:dyDescent="0.35">
      <c r="A998" t="s">
        <v>1330</v>
      </c>
      <c r="B998" s="1">
        <v>45993</v>
      </c>
      <c r="C998" t="s">
        <v>433</v>
      </c>
      <c r="D998" t="s">
        <v>58</v>
      </c>
      <c r="E998" t="s">
        <v>18</v>
      </c>
      <c r="F998" t="s">
        <v>67</v>
      </c>
      <c r="G998" t="s">
        <v>37</v>
      </c>
      <c r="H998">
        <v>2</v>
      </c>
      <c r="I998">
        <v>78.42</v>
      </c>
      <c r="J998">
        <v>0.1</v>
      </c>
      <c r="K998">
        <v>141.16</v>
      </c>
      <c r="L998">
        <v>80</v>
      </c>
      <c r="M998">
        <v>61.16</v>
      </c>
      <c r="N998" t="s">
        <v>21</v>
      </c>
      <c r="O998" t="s">
        <v>22</v>
      </c>
    </row>
    <row r="999" spans="1:15" x14ac:dyDescent="0.35">
      <c r="A999" t="s">
        <v>1331</v>
      </c>
      <c r="B999" s="1">
        <v>45906</v>
      </c>
      <c r="C999" t="s">
        <v>484</v>
      </c>
      <c r="D999" t="s">
        <v>45</v>
      </c>
      <c r="E999" t="s">
        <v>46</v>
      </c>
      <c r="F999" t="s">
        <v>27</v>
      </c>
      <c r="G999" t="s">
        <v>20</v>
      </c>
      <c r="H999">
        <v>1</v>
      </c>
      <c r="I999">
        <v>182.78</v>
      </c>
      <c r="J999">
        <v>0.1</v>
      </c>
      <c r="K999">
        <v>164.5</v>
      </c>
      <c r="L999">
        <v>110</v>
      </c>
      <c r="M999">
        <v>54.5</v>
      </c>
      <c r="N999" t="s">
        <v>38</v>
      </c>
      <c r="O999" t="s">
        <v>22</v>
      </c>
    </row>
    <row r="1000" spans="1:15" x14ac:dyDescent="0.35">
      <c r="A1000" t="s">
        <v>1332</v>
      </c>
      <c r="B1000" s="1">
        <v>45885</v>
      </c>
      <c r="C1000" t="s">
        <v>30</v>
      </c>
      <c r="D1000" t="s">
        <v>58</v>
      </c>
      <c r="E1000" t="s">
        <v>18</v>
      </c>
      <c r="F1000" t="s">
        <v>67</v>
      </c>
      <c r="G1000" t="s">
        <v>37</v>
      </c>
      <c r="H1000">
        <v>3</v>
      </c>
      <c r="I1000">
        <v>75.86</v>
      </c>
      <c r="J1000">
        <v>0.1</v>
      </c>
      <c r="K1000">
        <v>204.82</v>
      </c>
      <c r="L1000">
        <v>120</v>
      </c>
      <c r="M1000">
        <v>84.82</v>
      </c>
      <c r="N1000" t="s">
        <v>33</v>
      </c>
      <c r="O1000" t="s">
        <v>28</v>
      </c>
    </row>
    <row r="1001" spans="1:15" x14ac:dyDescent="0.35">
      <c r="A1001" t="s">
        <v>1333</v>
      </c>
      <c r="B1001" s="1">
        <v>45788</v>
      </c>
      <c r="C1001" t="s">
        <v>1029</v>
      </c>
      <c r="D1001" t="s">
        <v>25</v>
      </c>
      <c r="E1001" t="s">
        <v>26</v>
      </c>
      <c r="F1001" t="s">
        <v>67</v>
      </c>
      <c r="G1001" t="s">
        <v>37</v>
      </c>
      <c r="H1001">
        <v>3</v>
      </c>
      <c r="I1001">
        <v>78.52</v>
      </c>
      <c r="J1001">
        <v>0.05</v>
      </c>
      <c r="K1001">
        <v>223.78</v>
      </c>
      <c r="L1001">
        <v>120</v>
      </c>
      <c r="M1001">
        <v>103.78</v>
      </c>
      <c r="N1001" t="s">
        <v>21</v>
      </c>
      <c r="O1001" t="s">
        <v>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3"/>
  <sheetViews>
    <sheetView tabSelected="1" workbookViewId="0">
      <selection activeCell="K12" sqref="K12"/>
    </sheetView>
  </sheetViews>
  <sheetFormatPr defaultRowHeight="14.5" x14ac:dyDescent="0.35"/>
  <cols>
    <col min="2" max="2" width="15.453125" bestFit="1" customWidth="1"/>
    <col min="4" max="4" width="15.453125" bestFit="1" customWidth="1"/>
    <col min="6" max="6" width="10.08984375" bestFit="1" customWidth="1"/>
    <col min="8" max="8" width="10.90625" bestFit="1" customWidth="1"/>
  </cols>
  <sheetData>
    <row r="1" spans="2:9" ht="23.5" x14ac:dyDescent="0.55000000000000004">
      <c r="B1" s="9" t="s">
        <v>1354</v>
      </c>
      <c r="C1" s="10"/>
      <c r="D1" s="10"/>
      <c r="E1" s="10"/>
      <c r="F1" s="10"/>
      <c r="G1" s="10"/>
      <c r="H1" s="10"/>
      <c r="I1" s="10"/>
    </row>
    <row r="2" spans="2:9" x14ac:dyDescent="0.35">
      <c r="B2" s="6" t="s">
        <v>1334</v>
      </c>
      <c r="D2" s="6" t="s">
        <v>1335</v>
      </c>
      <c r="F2" s="6" t="s">
        <v>1336</v>
      </c>
      <c r="H2" s="6" t="s">
        <v>1337</v>
      </c>
    </row>
    <row r="3" spans="2:9" ht="18.5" x14ac:dyDescent="0.45">
      <c r="B3" s="7">
        <f>SUM(Table1[Sales])</f>
        <v>775732.20999999973</v>
      </c>
      <c r="D3" s="7">
        <f>SUM(Table1[Profit])</f>
        <v>253042.21000000022</v>
      </c>
      <c r="F3" s="8">
        <f>COUNTA(Table1[Order ID])</f>
        <v>1000</v>
      </c>
      <c r="H3" s="7">
        <f>AVERAGE(Table1[Sales])</f>
        <v>775.73220999999978</v>
      </c>
    </row>
  </sheetData>
  <mergeCells count="1">
    <mergeCell ref="B1:I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Sheet6</vt:lpstr>
      <vt:lpstr>ecommerce_sales_data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USER</cp:lastModifiedBy>
  <dcterms:created xsi:type="dcterms:W3CDTF">2026-09-17T07:24:53Z</dcterms:created>
  <dcterms:modified xsi:type="dcterms:W3CDTF">2026-09-23T03:58:44Z</dcterms:modified>
</cp:coreProperties>
</file>